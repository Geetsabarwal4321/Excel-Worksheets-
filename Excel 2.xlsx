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bookViews>
    <workbookView xWindow="630" yWindow="555" windowWidth="14055" windowHeight="9405" activeTab="3"/>
  </bookViews>
  <sheets>
    <sheet name="Region Summary" sheetId="3" r:id="rId1"/>
    <sheet name="Sheet5" sheetId="7" r:id="rId2"/>
    <sheet name="Sheet6" sheetId="8" r:id="rId3"/>
    <sheet name="Sheet7" sheetId="9" r:id="rId4"/>
    <sheet name="Sheet8" sheetId="10" r:id="rId5"/>
    <sheet name="Sales Data" sheetId="1" r:id="rId6"/>
  </sheets>
  <definedNames>
    <definedName name="Slicer_Product_Category">#N/A</definedName>
  </definedNames>
  <calcPr calcId="0"/>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<sst xmlns="http://schemas.openxmlformats.org/spreadsheetml/2006/main" count="543" uniqueCount="139">
  <si>
    <t>Order ID</t>
  </si>
  <si>
    <t>Order Date</t>
  </si>
  <si>
    <t>Region</t>
  </si>
  <si>
    <t>Product Category</t>
  </si>
  <si>
    <t>Product</t>
  </si>
  <si>
    <t>Sales Rep</t>
  </si>
  <si>
    <t>Customer Type</t>
  </si>
  <si>
    <t>Units Sold</t>
  </si>
  <si>
    <t>Unit Price</t>
  </si>
  <si>
    <t>Sales Amount</t>
  </si>
  <si>
    <t>Profit</t>
  </si>
  <si>
    <t>ORD0072</t>
  </si>
  <si>
    <t>South</t>
  </si>
  <si>
    <t>Appliances</t>
  </si>
  <si>
    <t>Refrigerator</t>
  </si>
  <si>
    <t>Anil Kapoor</t>
  </si>
  <si>
    <t>Retail</t>
  </si>
  <si>
    <t>ORD0046</t>
  </si>
  <si>
    <t>North</t>
  </si>
  <si>
    <t>Stationery</t>
  </si>
  <si>
    <t>Desk Organizer</t>
  </si>
  <si>
    <t>Kavita Nair</t>
  </si>
  <si>
    <t>ORD0062</t>
  </si>
  <si>
    <t>Furniture</t>
  </si>
  <si>
    <t>Office Chair</t>
  </si>
  <si>
    <t>Online</t>
  </si>
  <si>
    <t>ORD0005</t>
  </si>
  <si>
    <t>Air Conditioner</t>
  </si>
  <si>
    <t>ORD0008</t>
  </si>
  <si>
    <t>Fan</t>
  </si>
  <si>
    <t>ORD0026</t>
  </si>
  <si>
    <t>Electronics</t>
  </si>
  <si>
    <t>Headphones</t>
  </si>
  <si>
    <t>Suresh Iyer</t>
  </si>
  <si>
    <t>ORD0022</t>
  </si>
  <si>
    <t>Desk</t>
  </si>
  <si>
    <t>Ritu Malhotra</t>
  </si>
  <si>
    <t>ORD0001</t>
  </si>
  <si>
    <t>Tablet</t>
  </si>
  <si>
    <t>Meena Kulkarni</t>
  </si>
  <si>
    <t>ORD0065</t>
  </si>
  <si>
    <t>East</t>
  </si>
  <si>
    <t>Deepak Chopra</t>
  </si>
  <si>
    <t>ORD0032</t>
  </si>
  <si>
    <t>Pen Pack</t>
  </si>
  <si>
    <t>ORD0073</t>
  </si>
  <si>
    <t>Notebook Set</t>
  </si>
  <si>
    <t>Rohit Sharma</t>
  </si>
  <si>
    <t>ORD0021</t>
  </si>
  <si>
    <t>ORD0048</t>
  </si>
  <si>
    <t>West</t>
  </si>
  <si>
    <t>ORD0011</t>
  </si>
  <si>
    <t>ORD0060</t>
  </si>
  <si>
    <t>Sofa</t>
  </si>
  <si>
    <t>Wholesale</t>
  </si>
  <si>
    <t>ORD0049</t>
  </si>
  <si>
    <t>ORD0080</t>
  </si>
  <si>
    <t>ORD0006</t>
  </si>
  <si>
    <t>ORD0016</t>
  </si>
  <si>
    <t>ORD0045</t>
  </si>
  <si>
    <t>ORD0071</t>
  </si>
  <si>
    <t>ORD0061</t>
  </si>
  <si>
    <t>ORD0077</t>
  </si>
  <si>
    <t>ORD0003</t>
  </si>
  <si>
    <t>ORD0018</t>
  </si>
  <si>
    <t>Mobile Phone</t>
  </si>
  <si>
    <t>ORD0037</t>
  </si>
  <si>
    <t>Bookshelf</t>
  </si>
  <si>
    <t>ORD0058</t>
  </si>
  <si>
    <t>ORD0007</t>
  </si>
  <si>
    <t>ORD0035</t>
  </si>
  <si>
    <t>Microwave</t>
  </si>
  <si>
    <t>ORD0039</t>
  </si>
  <si>
    <t>ORD0050</t>
  </si>
  <si>
    <t>Whiteboard</t>
  </si>
  <si>
    <t>ORD0010</t>
  </si>
  <si>
    <t>ORD0013</t>
  </si>
  <si>
    <t>Farah Khan</t>
  </si>
  <si>
    <t>ORD0029</t>
  </si>
  <si>
    <t>Laptop</t>
  </si>
  <si>
    <t>ORD0067</t>
  </si>
  <si>
    <t>ORD0038</t>
  </si>
  <si>
    <t>ORD0031</t>
  </si>
  <si>
    <t>ORD0042</t>
  </si>
  <si>
    <t>ORD0030</t>
  </si>
  <si>
    <t>ORD0075</t>
  </si>
  <si>
    <t>ORD0070</t>
  </si>
  <si>
    <t>ORD0009</t>
  </si>
  <si>
    <t>ORD0025</t>
  </si>
  <si>
    <t>ORD0066</t>
  </si>
  <si>
    <t>ORD0036</t>
  </si>
  <si>
    <t>ORD0051</t>
  </si>
  <si>
    <t>ORD0043</t>
  </si>
  <si>
    <t>ORD0057</t>
  </si>
  <si>
    <t>ORD0023</t>
  </si>
  <si>
    <t>ORD0055</t>
  </si>
  <si>
    <t>ORD0052</t>
  </si>
  <si>
    <t>ORD0054</t>
  </si>
  <si>
    <t>ORD0020</t>
  </si>
  <si>
    <t>ORD0017</t>
  </si>
  <si>
    <t>ORD0033</t>
  </si>
  <si>
    <t>ORD0076</t>
  </si>
  <si>
    <t>ORD0004</t>
  </si>
  <si>
    <t>ORD0028</t>
  </si>
  <si>
    <t>ORD0056</t>
  </si>
  <si>
    <t>ORD0068</t>
  </si>
  <si>
    <t>ORD0074</t>
  </si>
  <si>
    <t>ORD0063</t>
  </si>
  <si>
    <t>ORD0014</t>
  </si>
  <si>
    <t>ORD0041</t>
  </si>
  <si>
    <t>ORD0012</t>
  </si>
  <si>
    <t>ORD0034</t>
  </si>
  <si>
    <t>ORD0015</t>
  </si>
  <si>
    <t>ORD0069</t>
  </si>
  <si>
    <t>ORD0027</t>
  </si>
  <si>
    <t>ORD0040</t>
  </si>
  <si>
    <t>ORD0002</t>
  </si>
  <si>
    <t>ORD0064</t>
  </si>
  <si>
    <t>ORD0044</t>
  </si>
  <si>
    <t>ORD0019</t>
  </si>
  <si>
    <t>ORD0059</t>
  </si>
  <si>
    <t>ORD0079</t>
  </si>
  <si>
    <t>ORD0078</t>
  </si>
  <si>
    <t>ORD0024</t>
  </si>
  <si>
    <t>ORD0047</t>
  </si>
  <si>
    <t>ORD0053</t>
  </si>
  <si>
    <t>Row Labels</t>
  </si>
  <si>
    <t>Grand Total</t>
  </si>
  <si>
    <t>Sum of Sales Amount</t>
  </si>
  <si>
    <t>Column Labels</t>
  </si>
  <si>
    <t>Sum of Profit</t>
  </si>
  <si>
    <t>Average of Sales Amount</t>
  </si>
  <si>
    <t>Count of Order ID</t>
  </si>
  <si>
    <t>Jan</t>
  </si>
  <si>
    <t>Feb</t>
  </si>
  <si>
    <t>Mar</t>
  </si>
  <si>
    <t>Apr</t>
  </si>
  <si>
    <t>May</t>
  </si>
  <si>
    <t>Jun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</si>
</sst>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mmm\-yyyy"/>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164" fontId="0" fillId="0" borderId="0" xfId="0" applyNumberFormat="1" applyAlignment="1">
      <alignment horizontal="left"/>
    </xf>
  </cellXfs>
  <cellStyles count="1">
    <cellStyle name="Normal" xfId="0" builtinId="0"/>
  </cellStyles>
  <dxfs count="3">
    <dxf>
      <fill>
        <patternFill>
          <bgColor theme="4" tint="0.39994506668294322"/>
        </patternFill>
      </fill>
    </dxf>
    <dxf>
      <font>
        <color rgb="FF006100"/>
      </font>
      <fill>
        <patternFill>
          <bgColor rgb="FFC6EF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2</xdr:col>
      <xdr:colOff>276225</xdr:colOff>
      <xdr:row>0</xdr:row>
      <xdr:rowOff>28575</xdr:rowOff>
    </xdr:from>
    <xdr:to>
      <xdr:col>5</xdr:col>
      <xdr:colOff>276225</xdr:colOff>
      <xdr:row>13</xdr:row>
      <xdr:rowOff>76200</xdr:rowOff>
    </xdr:to>
    <mc:AlternateContent xmlns:mc="http://schemas.openxmlformats.org/markup-compatibility/2006" xmlns:a14="http://schemas.microsoft.com/office/drawing/2010/main">
      <mc:Choice Requires="a14">
        <xdr:graphicFrame macro="">
          <xdr:nvGraphicFramePr>
            <xdr:cNvPr id="2" name="Product Category"/>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2486025" y="285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pc" refreshedDate="46211.725030092595" createdVersion="4" refreshedVersion="4" minRefreshableVersion="3" recordCount="80">
  <cacheSource type="worksheet">
    <worksheetSource ref="A1:K81" sheet="Sales Data"/>
  </cacheSource>
  <cacheFields count="11">
    <cacheField name="Order ID" numFmtId="0">
      <sharedItems count="80">
        <s v="ORD0072"/>
        <s v="ORD0046"/>
        <s v="ORD0062"/>
        <s v="ORD0005"/>
        <s v="ORD0008"/>
        <s v="ORD0026"/>
        <s v="ORD0022"/>
        <s v="ORD0001"/>
        <s v="ORD0065"/>
        <s v="ORD0032"/>
        <s v="ORD0073"/>
        <s v="ORD0021"/>
        <s v="ORD0048"/>
        <s v="ORD0011"/>
        <s v="ORD0060"/>
        <s v="ORD0049"/>
        <s v="ORD0080"/>
        <s v="ORD0006"/>
        <s v="ORD0016"/>
        <s v="ORD0045"/>
        <s v="ORD0071"/>
        <s v="ORD0061"/>
        <s v="ORD0077"/>
        <s v="ORD0003"/>
        <s v="ORD0018"/>
        <s v="ORD0037"/>
        <s v="ORD0058"/>
        <s v="ORD0007"/>
        <s v="ORD0035"/>
        <s v="ORD0039"/>
        <s v="ORD0050"/>
        <s v="ORD0010"/>
        <s v="ORD0013"/>
        <s v="ORD0029"/>
        <s v="ORD0067"/>
        <s v="ORD0038"/>
        <s v="ORD0031"/>
        <s v="ORD0042"/>
        <s v="ORD0030"/>
        <s v="ORD0075"/>
        <s v="ORD0070"/>
        <s v="ORD0009"/>
        <s v="ORD0025"/>
        <s v="ORD0066"/>
        <s v="ORD0036"/>
        <s v="ORD0051"/>
        <s v="ORD0043"/>
        <s v="ORD0057"/>
        <s v="ORD0023"/>
        <s v="ORD0055"/>
        <s v="ORD0052"/>
        <s v="ORD0054"/>
        <s v="ORD0020"/>
        <s v="ORD0017"/>
        <s v="ORD0033"/>
        <s v="ORD0076"/>
        <s v="ORD0004"/>
        <s v="ORD0028"/>
        <s v="ORD0056"/>
        <s v="ORD0068"/>
        <s v="ORD0074"/>
        <s v="ORD0063"/>
        <s v="ORD0014"/>
        <s v="ORD0041"/>
        <s v="ORD0012"/>
        <s v="ORD0034"/>
        <s v="ORD0015"/>
        <s v="ORD0069"/>
        <s v="ORD0027"/>
        <s v="ORD0040"/>
        <s v="ORD0002"/>
        <s v="ORD0064"/>
        <s v="ORD0044"/>
        <s v="ORD0019"/>
        <s v="ORD0059"/>
        <s v="ORD0079"/>
        <s v="ORD0078"/>
        <s v="ORD0024"/>
        <s v="ORD0047"/>
        <s v="ORD0053"/>
      </sharedItems>
    </cacheField>
    <cacheField name="Order Date" numFmtId="164">
      <sharedItems containsSemiMixedTypes="0" containsNonDate="0" containsDate="1" containsString="0" minDate="2026-01-04T00:00:00" maxDate="2026-06-29T00:00:00" count="63">
        <d v="2026-01-04T00:00:00"/>
        <d v="2026-01-07T00:00:00"/>
        <d v="2026-01-11T00:00:00"/>
        <d v="2026-01-12T00:00:00"/>
        <d v="2026-01-15T00:00:00"/>
        <d v="2026-01-18T00:00:00"/>
        <d v="2026-01-20T00:00:00"/>
        <d v="2026-01-23T00:00:00"/>
        <d v="2026-01-24T00:00:00"/>
        <d v="2026-01-27T00:00:00"/>
        <d v="2026-01-28T00:00:00"/>
        <d v="2026-01-29T00:00:00"/>
        <d v="2026-01-30T00:00:00"/>
        <d v="2026-02-04T00:00:00"/>
        <d v="2026-02-06T00:00:00"/>
        <d v="2026-02-11T00:00:00"/>
        <d v="2026-02-12T00:00:00"/>
        <d v="2026-02-13T00:00:00"/>
        <d v="2026-02-19T00:00:00"/>
        <d v="2026-02-20T00:00:00"/>
        <d v="2026-02-24T00:00:00"/>
        <d v="2026-02-25T00:00:00"/>
        <d v="2026-02-26T00:00:00"/>
        <d v="2026-02-27T00:00:00"/>
        <d v="2026-03-04T00:00:00"/>
        <d v="2026-03-05T00:00:00"/>
        <d v="2026-03-08T00:00:00"/>
        <d v="2026-03-09T00:00:00"/>
        <d v="2026-03-12T00:00:00"/>
        <d v="2026-03-13T00:00:00"/>
        <d v="2026-03-14T00:00:00"/>
        <d v="2026-03-18T00:00:00"/>
        <d v="2026-03-19T00:00:00"/>
        <d v="2026-03-20T00:00:00"/>
        <d v="2026-03-22T00:00:00"/>
        <d v="2026-03-25T00:00:00"/>
        <d v="2026-03-27T00:00:00"/>
        <d v="2026-04-08T00:00:00"/>
        <d v="2026-04-13T00:00:00"/>
        <d v="2026-04-14T00:00:00"/>
        <d v="2026-04-17T00:00:00"/>
        <d v="2026-04-18T00:00:00"/>
        <d v="2026-04-21T00:00:00"/>
        <d v="2026-04-23T00:00:00"/>
        <d v="2026-04-24T00:00:00"/>
        <d v="2026-04-28T00:00:00"/>
        <d v="2026-04-29T00:00:00"/>
        <d v="2026-05-02T00:00:00"/>
        <d v="2026-05-03T00:00:00"/>
        <d v="2026-05-06T00:00:00"/>
        <d v="2026-05-16T00:00:00"/>
        <d v="2026-05-18T00:00:00"/>
        <d v="2026-05-22T00:00:00"/>
        <d v="2026-05-26T00:00:00"/>
        <d v="2026-05-29T00:00:00"/>
        <d v="2026-05-30T00:00:00"/>
        <d v="2026-06-05T00:00:00"/>
        <d v="2026-06-16T00:00:00"/>
        <d v="2026-06-17T00:00:00"/>
        <d v="2026-06-21T00:00:00"/>
        <d v="2026-06-25T00:00:00"/>
        <d v="2026-06-26T00:00:00"/>
        <d v="2026-06-28T00:00:00"/>
      </sharedItems>
      <fieldGroup base="1">
        <rangePr groupBy="months" startDate="2026-01-04T00:00:00" endDate="2026-06-29T00:00:00"/>
        <groupItems count="14">
          <s v="&lt;1/4/2026"/>
          <s v="Jan"/>
          <s v="Feb"/>
          <s v="Mar"/>
          <s v="Apr"/>
          <s v="May"/>
          <s v="Jun"/>
          <s v="Jul"/>
          <s v="Aug"/>
          <s v="Sep"/>
          <s v="Oct"/>
          <s v="Nov"/>
          <s v="Dec"/>
          <s v="&gt;6/29/2026"/>
        </groupItems>
      </fieldGroup>
    </cacheField>
    <cacheField name="Region" numFmtId="0">
      <sharedItems count="4">
        <s v="South"/>
        <s v="North"/>
        <s v="East"/>
        <s v="West"/>
      </sharedItems>
    </cacheField>
    <cacheField name="Product Category" numFmtId="0">
      <sharedItems count="4">
        <s v="Appliances"/>
        <s v="Stationery"/>
        <s v="Furniture"/>
        <s v="Electronics"/>
      </sharedItems>
    </cacheField>
    <cacheField name="Product" numFmtId="0">
      <sharedItems/>
    </cacheField>
    <cacheField name="Sales Rep" numFmtId="0">
      <sharedItems count="8">
        <s v="Anil Kapoor"/>
        <s v="Kavita Nair"/>
        <s v="Suresh Iyer"/>
        <s v="Ritu Malhotra"/>
        <s v="Meena Kulkarni"/>
        <s v="Deepak Chopra"/>
        <s v="Rohit Sharma"/>
        <s v="Farah Khan"/>
      </sharedItems>
    </cacheField>
    <cacheField name="Customer Type" numFmtId="0">
      <sharedItems count="3">
        <s v="Retail"/>
        <s v="Online"/>
        <s v="Wholesale"/>
      </sharedItems>
    </cacheField>
    <cacheField name="Units Sold" numFmtId="0">
      <sharedItems containsSemiMixedTypes="0" containsString="0" containsNumber="1" containsInteger="1" minValue="1" maxValue="12"/>
    </cacheField>
    <cacheField name="Unit Price" numFmtId="0">
      <sharedItems containsSemiMixedTypes="0" containsString="0" containsNumber="1" containsInteger="1" minValue="68" maxValue="80719"/>
    </cacheField>
    <cacheField name="Sales Amount" numFmtId="0">
      <sharedItems containsSemiMixedTypes="0" containsString="0" containsNumber="1" containsInteger="1" minValue="408" maxValue="465520"/>
    </cacheField>
    <cacheField name="Profit" numFmtId="0">
      <sharedItems containsSemiMixedTypes="0" containsString="0" containsNumber="1" containsInteger="1" minValue="-56928" maxValue="72422"/>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80">
  <r>
    <x v="0"/>
    <x v="0"/>
    <x v="0"/>
    <x v="0"/>
    <s v="Refrigerator"/>
    <x v="0"/>
    <x v="0"/>
    <n v="4"/>
    <n v="27707"/>
    <n v="110828"/>
    <n v="11650"/>
  </r>
  <r>
    <x v="1"/>
    <x v="1"/>
    <x v="1"/>
    <x v="1"/>
    <s v="Desk Organizer"/>
    <x v="1"/>
    <x v="0"/>
    <n v="11"/>
    <n v="617"/>
    <n v="6787"/>
    <n v="732"/>
  </r>
  <r>
    <x v="2"/>
    <x v="2"/>
    <x v="1"/>
    <x v="2"/>
    <s v="Office Chair"/>
    <x v="0"/>
    <x v="1"/>
    <n v="10"/>
    <n v="4983"/>
    <n v="49830"/>
    <n v="7934"/>
  </r>
  <r>
    <x v="3"/>
    <x v="3"/>
    <x v="1"/>
    <x v="0"/>
    <s v="Air Conditioner"/>
    <x v="0"/>
    <x v="1"/>
    <n v="10"/>
    <n v="36850"/>
    <n v="368500"/>
    <n v="65829"/>
  </r>
  <r>
    <x v="4"/>
    <x v="4"/>
    <x v="0"/>
    <x v="0"/>
    <s v="Fan"/>
    <x v="0"/>
    <x v="1"/>
    <n v="12"/>
    <n v="3481"/>
    <n v="41772"/>
    <n v="5238"/>
  </r>
  <r>
    <x v="5"/>
    <x v="5"/>
    <x v="1"/>
    <x v="3"/>
    <s v="Headphones"/>
    <x v="2"/>
    <x v="0"/>
    <n v="9"/>
    <n v="1456"/>
    <n v="13104"/>
    <n v="1174"/>
  </r>
  <r>
    <x v="6"/>
    <x v="6"/>
    <x v="0"/>
    <x v="2"/>
    <s v="Desk"/>
    <x v="3"/>
    <x v="0"/>
    <n v="7"/>
    <n v="8006"/>
    <n v="56042"/>
    <n v="6443"/>
  </r>
  <r>
    <x v="7"/>
    <x v="7"/>
    <x v="1"/>
    <x v="3"/>
    <s v="Tablet"/>
    <x v="4"/>
    <x v="0"/>
    <n v="3"/>
    <n v="15358"/>
    <n v="46074"/>
    <n v="9441"/>
  </r>
  <r>
    <x v="8"/>
    <x v="7"/>
    <x v="2"/>
    <x v="0"/>
    <s v="Fan"/>
    <x v="5"/>
    <x v="1"/>
    <n v="10"/>
    <n v="2299"/>
    <n v="22990"/>
    <n v="2629"/>
  </r>
  <r>
    <x v="9"/>
    <x v="8"/>
    <x v="0"/>
    <x v="1"/>
    <s v="Pen Pack"/>
    <x v="0"/>
    <x v="1"/>
    <n v="8"/>
    <n v="114"/>
    <n v="912"/>
    <n v="181"/>
  </r>
  <r>
    <x v="10"/>
    <x v="9"/>
    <x v="0"/>
    <x v="1"/>
    <s v="Notebook Set"/>
    <x v="6"/>
    <x v="1"/>
    <n v="5"/>
    <n v="214"/>
    <n v="1070"/>
    <n v="198"/>
  </r>
  <r>
    <x v="11"/>
    <x v="10"/>
    <x v="2"/>
    <x v="0"/>
    <s v="Fan"/>
    <x v="3"/>
    <x v="1"/>
    <n v="1"/>
    <n v="1603"/>
    <n v="1603"/>
    <n v="-89"/>
  </r>
  <r>
    <x v="12"/>
    <x v="10"/>
    <x v="3"/>
    <x v="0"/>
    <s v="Fan"/>
    <x v="4"/>
    <x v="0"/>
    <n v="11"/>
    <n v="1222"/>
    <n v="13442"/>
    <n v="2695"/>
  </r>
  <r>
    <x v="13"/>
    <x v="11"/>
    <x v="3"/>
    <x v="0"/>
    <s v="Refrigerator"/>
    <x v="4"/>
    <x v="0"/>
    <n v="9"/>
    <n v="34171"/>
    <n v="307539"/>
    <n v="26632"/>
  </r>
  <r>
    <x v="14"/>
    <x v="12"/>
    <x v="1"/>
    <x v="2"/>
    <s v="Sofa"/>
    <x v="0"/>
    <x v="2"/>
    <n v="3"/>
    <n v="34853"/>
    <n v="104559"/>
    <n v="19313"/>
  </r>
  <r>
    <x v="15"/>
    <x v="13"/>
    <x v="3"/>
    <x v="2"/>
    <s v="Desk"/>
    <x v="3"/>
    <x v="0"/>
    <n v="9"/>
    <n v="9082"/>
    <n v="81738"/>
    <n v="7928"/>
  </r>
  <r>
    <x v="16"/>
    <x v="14"/>
    <x v="0"/>
    <x v="1"/>
    <s v="Pen Pack"/>
    <x v="5"/>
    <x v="0"/>
    <n v="9"/>
    <n v="107"/>
    <n v="963"/>
    <n v="200"/>
  </r>
  <r>
    <x v="17"/>
    <x v="15"/>
    <x v="0"/>
    <x v="1"/>
    <s v="Notebook Set"/>
    <x v="4"/>
    <x v="0"/>
    <n v="7"/>
    <n v="292"/>
    <n v="2044"/>
    <n v="402"/>
  </r>
  <r>
    <x v="18"/>
    <x v="16"/>
    <x v="1"/>
    <x v="3"/>
    <s v="Headphones"/>
    <x v="1"/>
    <x v="1"/>
    <n v="3"/>
    <n v="1851"/>
    <n v="5553"/>
    <n v="1180"/>
  </r>
  <r>
    <x v="19"/>
    <x v="17"/>
    <x v="2"/>
    <x v="0"/>
    <s v="Fan"/>
    <x v="3"/>
    <x v="1"/>
    <n v="4"/>
    <n v="3293"/>
    <n v="13172"/>
    <n v="2716"/>
  </r>
  <r>
    <x v="20"/>
    <x v="18"/>
    <x v="2"/>
    <x v="2"/>
    <s v="Office Chair"/>
    <x v="4"/>
    <x v="2"/>
    <n v="2"/>
    <n v="11779"/>
    <n v="23558"/>
    <n v="4161"/>
  </r>
  <r>
    <x v="21"/>
    <x v="19"/>
    <x v="0"/>
    <x v="1"/>
    <s v="Notebook Set"/>
    <x v="6"/>
    <x v="2"/>
    <n v="10"/>
    <n v="496"/>
    <n v="4960"/>
    <n v="657"/>
  </r>
  <r>
    <x v="22"/>
    <x v="20"/>
    <x v="2"/>
    <x v="0"/>
    <s v="Refrigerator"/>
    <x v="6"/>
    <x v="1"/>
    <n v="12"/>
    <n v="21251"/>
    <n v="255012"/>
    <n v="27819"/>
  </r>
  <r>
    <x v="23"/>
    <x v="21"/>
    <x v="3"/>
    <x v="2"/>
    <s v="Sofa"/>
    <x v="0"/>
    <x v="0"/>
    <n v="3"/>
    <n v="37876"/>
    <n v="113628"/>
    <n v="13511"/>
  </r>
  <r>
    <x v="24"/>
    <x v="22"/>
    <x v="3"/>
    <x v="3"/>
    <s v="Mobile Phone"/>
    <x v="4"/>
    <x v="0"/>
    <n v="6"/>
    <n v="11378"/>
    <n v="68268"/>
    <n v="7661"/>
  </r>
  <r>
    <x v="25"/>
    <x v="22"/>
    <x v="3"/>
    <x v="2"/>
    <s v="Bookshelf"/>
    <x v="2"/>
    <x v="1"/>
    <n v="2"/>
    <n v="5633"/>
    <n v="11266"/>
    <n v="2255"/>
  </r>
  <r>
    <x v="26"/>
    <x v="23"/>
    <x v="2"/>
    <x v="0"/>
    <s v="Refrigerator"/>
    <x v="1"/>
    <x v="2"/>
    <n v="1"/>
    <n v="35675"/>
    <n v="35675"/>
    <n v="-936"/>
  </r>
  <r>
    <x v="27"/>
    <x v="24"/>
    <x v="2"/>
    <x v="1"/>
    <s v="Pen Pack"/>
    <x v="0"/>
    <x v="1"/>
    <n v="11"/>
    <n v="68"/>
    <n v="748"/>
    <n v="78"/>
  </r>
  <r>
    <x v="28"/>
    <x v="25"/>
    <x v="0"/>
    <x v="0"/>
    <s v="Microwave"/>
    <x v="6"/>
    <x v="2"/>
    <n v="6"/>
    <n v="6653"/>
    <n v="39918"/>
    <n v="4367"/>
  </r>
  <r>
    <x v="29"/>
    <x v="26"/>
    <x v="1"/>
    <x v="1"/>
    <s v="Desk Organizer"/>
    <x v="5"/>
    <x v="1"/>
    <n v="9"/>
    <n v="639"/>
    <n v="5751"/>
    <n v="553"/>
  </r>
  <r>
    <x v="30"/>
    <x v="26"/>
    <x v="3"/>
    <x v="1"/>
    <s v="Whiteboard"/>
    <x v="5"/>
    <x v="1"/>
    <n v="8"/>
    <n v="1851"/>
    <n v="14808"/>
    <n v="2169"/>
  </r>
  <r>
    <x v="31"/>
    <x v="27"/>
    <x v="0"/>
    <x v="0"/>
    <s v="Fan"/>
    <x v="3"/>
    <x v="0"/>
    <n v="5"/>
    <n v="1771"/>
    <n v="8855"/>
    <n v="1404"/>
  </r>
  <r>
    <x v="32"/>
    <x v="27"/>
    <x v="1"/>
    <x v="3"/>
    <s v="Tablet"/>
    <x v="7"/>
    <x v="0"/>
    <n v="5"/>
    <n v="26246"/>
    <n v="131230"/>
    <n v="10558"/>
  </r>
  <r>
    <x v="33"/>
    <x v="27"/>
    <x v="2"/>
    <x v="3"/>
    <s v="Laptop"/>
    <x v="3"/>
    <x v="1"/>
    <n v="10"/>
    <n v="46552"/>
    <n v="465520"/>
    <n v="-56928"/>
  </r>
  <r>
    <x v="34"/>
    <x v="28"/>
    <x v="0"/>
    <x v="0"/>
    <s v="Microwave"/>
    <x v="7"/>
    <x v="2"/>
    <n v="6"/>
    <n v="10581"/>
    <n v="63486"/>
    <n v="11311"/>
  </r>
  <r>
    <x v="35"/>
    <x v="29"/>
    <x v="0"/>
    <x v="0"/>
    <s v="Refrigerator"/>
    <x v="0"/>
    <x v="0"/>
    <n v="4"/>
    <n v="18775"/>
    <n v="75100"/>
    <n v="10197"/>
  </r>
  <r>
    <x v="36"/>
    <x v="30"/>
    <x v="1"/>
    <x v="1"/>
    <s v="Notebook Set"/>
    <x v="2"/>
    <x v="2"/>
    <n v="2"/>
    <n v="204"/>
    <n v="408"/>
    <n v="42"/>
  </r>
  <r>
    <x v="37"/>
    <x v="31"/>
    <x v="0"/>
    <x v="1"/>
    <s v="Whiteboard"/>
    <x v="1"/>
    <x v="1"/>
    <n v="6"/>
    <n v="3752"/>
    <n v="22512"/>
    <n v="4474"/>
  </r>
  <r>
    <x v="38"/>
    <x v="32"/>
    <x v="0"/>
    <x v="1"/>
    <s v="Notebook Set"/>
    <x v="4"/>
    <x v="2"/>
    <n v="5"/>
    <n v="230"/>
    <n v="1150"/>
    <n v="179"/>
  </r>
  <r>
    <x v="39"/>
    <x v="32"/>
    <x v="1"/>
    <x v="3"/>
    <s v="Headphones"/>
    <x v="3"/>
    <x v="0"/>
    <n v="10"/>
    <n v="1239"/>
    <n v="12390"/>
    <n v="2398"/>
  </r>
  <r>
    <x v="40"/>
    <x v="33"/>
    <x v="2"/>
    <x v="0"/>
    <s v="Refrigerator"/>
    <x v="5"/>
    <x v="1"/>
    <n v="9"/>
    <n v="28839"/>
    <n v="259551"/>
    <n v="37252"/>
  </r>
  <r>
    <x v="41"/>
    <x v="34"/>
    <x v="0"/>
    <x v="3"/>
    <s v="Tablet"/>
    <x v="5"/>
    <x v="2"/>
    <n v="2"/>
    <n v="18913"/>
    <n v="37826"/>
    <n v="6030"/>
  </r>
  <r>
    <x v="42"/>
    <x v="34"/>
    <x v="3"/>
    <x v="2"/>
    <s v="Desk"/>
    <x v="0"/>
    <x v="0"/>
    <n v="1"/>
    <n v="14489"/>
    <n v="14489"/>
    <n v="1283"/>
  </r>
  <r>
    <x v="43"/>
    <x v="35"/>
    <x v="2"/>
    <x v="0"/>
    <s v="Microwave"/>
    <x v="3"/>
    <x v="1"/>
    <n v="10"/>
    <n v="12209"/>
    <n v="122090"/>
    <n v="18216"/>
  </r>
  <r>
    <x v="44"/>
    <x v="36"/>
    <x v="1"/>
    <x v="1"/>
    <s v="Whiteboard"/>
    <x v="2"/>
    <x v="0"/>
    <n v="3"/>
    <n v="1925"/>
    <n v="5775"/>
    <n v="482"/>
  </r>
  <r>
    <x v="45"/>
    <x v="36"/>
    <x v="0"/>
    <x v="1"/>
    <s v="Whiteboard"/>
    <x v="4"/>
    <x v="2"/>
    <n v="8"/>
    <n v="1517"/>
    <n v="12136"/>
    <n v="1369"/>
  </r>
  <r>
    <x v="46"/>
    <x v="37"/>
    <x v="2"/>
    <x v="0"/>
    <s v="Refrigerator"/>
    <x v="5"/>
    <x v="1"/>
    <n v="5"/>
    <n v="36166"/>
    <n v="180830"/>
    <n v="25111"/>
  </r>
  <r>
    <x v="47"/>
    <x v="37"/>
    <x v="0"/>
    <x v="3"/>
    <s v="Tablet"/>
    <x v="5"/>
    <x v="2"/>
    <n v="4"/>
    <n v="26899"/>
    <n v="107596"/>
    <n v="20074"/>
  </r>
  <r>
    <x v="48"/>
    <x v="38"/>
    <x v="3"/>
    <x v="3"/>
    <s v="Laptop"/>
    <x v="6"/>
    <x v="0"/>
    <n v="4"/>
    <n v="50899"/>
    <n v="203596"/>
    <n v="30008"/>
  </r>
  <r>
    <x v="49"/>
    <x v="39"/>
    <x v="0"/>
    <x v="0"/>
    <s v="Microwave"/>
    <x v="0"/>
    <x v="2"/>
    <n v="8"/>
    <n v="6475"/>
    <n v="51800"/>
    <n v="8995"/>
  </r>
  <r>
    <x v="50"/>
    <x v="40"/>
    <x v="2"/>
    <x v="3"/>
    <s v="Mobile Phone"/>
    <x v="2"/>
    <x v="0"/>
    <n v="7"/>
    <n v="55478"/>
    <n v="388346"/>
    <n v="42700"/>
  </r>
  <r>
    <x v="51"/>
    <x v="41"/>
    <x v="1"/>
    <x v="0"/>
    <s v="Fan"/>
    <x v="6"/>
    <x v="2"/>
    <n v="5"/>
    <n v="2797"/>
    <n v="13985"/>
    <n v="2986"/>
  </r>
  <r>
    <x v="52"/>
    <x v="42"/>
    <x v="3"/>
    <x v="2"/>
    <s v="Desk"/>
    <x v="3"/>
    <x v="0"/>
    <n v="8"/>
    <n v="11669"/>
    <n v="93352"/>
    <n v="8735"/>
  </r>
  <r>
    <x v="53"/>
    <x v="43"/>
    <x v="2"/>
    <x v="0"/>
    <s v="Microwave"/>
    <x v="4"/>
    <x v="1"/>
    <n v="5"/>
    <n v="12537"/>
    <n v="62685"/>
    <n v="10718"/>
  </r>
  <r>
    <x v="54"/>
    <x v="44"/>
    <x v="3"/>
    <x v="1"/>
    <s v="Notebook Set"/>
    <x v="6"/>
    <x v="2"/>
    <n v="3"/>
    <n v="476"/>
    <n v="1428"/>
    <n v="147"/>
  </r>
  <r>
    <x v="55"/>
    <x v="44"/>
    <x v="1"/>
    <x v="2"/>
    <s v="Office Chair"/>
    <x v="5"/>
    <x v="1"/>
    <n v="10"/>
    <n v="6697"/>
    <n v="66970"/>
    <n v="8924"/>
  </r>
  <r>
    <x v="56"/>
    <x v="45"/>
    <x v="2"/>
    <x v="3"/>
    <s v="Laptop"/>
    <x v="5"/>
    <x v="0"/>
    <n v="6"/>
    <n v="62541"/>
    <n v="375246"/>
    <n v="72422"/>
  </r>
  <r>
    <x v="57"/>
    <x v="45"/>
    <x v="2"/>
    <x v="1"/>
    <s v="Pen Pack"/>
    <x v="7"/>
    <x v="0"/>
    <n v="5"/>
    <n v="151"/>
    <n v="755"/>
    <n v="129"/>
  </r>
  <r>
    <x v="58"/>
    <x v="46"/>
    <x v="0"/>
    <x v="0"/>
    <s v="Microwave"/>
    <x v="6"/>
    <x v="2"/>
    <n v="10"/>
    <n v="6444"/>
    <n v="64440"/>
    <n v="9022"/>
  </r>
  <r>
    <x v="59"/>
    <x v="47"/>
    <x v="1"/>
    <x v="2"/>
    <s v="Office Chair"/>
    <x v="4"/>
    <x v="1"/>
    <n v="7"/>
    <n v="11004"/>
    <n v="77028"/>
    <n v="8754"/>
  </r>
  <r>
    <x v="60"/>
    <x v="48"/>
    <x v="1"/>
    <x v="1"/>
    <s v="Whiteboard"/>
    <x v="3"/>
    <x v="2"/>
    <n v="6"/>
    <n v="1955"/>
    <n v="11730"/>
    <n v="1353"/>
  </r>
  <r>
    <x v="61"/>
    <x v="49"/>
    <x v="2"/>
    <x v="0"/>
    <s v="Refrigerator"/>
    <x v="1"/>
    <x v="1"/>
    <n v="11"/>
    <n v="29181"/>
    <n v="320991"/>
    <n v="-30620"/>
  </r>
  <r>
    <x v="62"/>
    <x v="50"/>
    <x v="0"/>
    <x v="3"/>
    <s v="Tablet"/>
    <x v="4"/>
    <x v="0"/>
    <n v="6"/>
    <n v="17293"/>
    <n v="103758"/>
    <n v="19611"/>
  </r>
  <r>
    <x v="63"/>
    <x v="51"/>
    <x v="1"/>
    <x v="0"/>
    <s v="Microwave"/>
    <x v="0"/>
    <x v="0"/>
    <n v="12"/>
    <n v="13144"/>
    <n v="157728"/>
    <n v="-4681"/>
  </r>
  <r>
    <x v="64"/>
    <x v="52"/>
    <x v="0"/>
    <x v="2"/>
    <s v="Sofa"/>
    <x v="1"/>
    <x v="2"/>
    <n v="7"/>
    <n v="34526"/>
    <n v="241682"/>
    <n v="37237"/>
  </r>
  <r>
    <x v="65"/>
    <x v="52"/>
    <x v="3"/>
    <x v="3"/>
    <s v="Laptop"/>
    <x v="1"/>
    <x v="1"/>
    <n v="3"/>
    <n v="75755"/>
    <n v="227265"/>
    <n v="-23181"/>
  </r>
  <r>
    <x v="66"/>
    <x v="53"/>
    <x v="1"/>
    <x v="1"/>
    <s v="Whiteboard"/>
    <x v="6"/>
    <x v="0"/>
    <n v="6"/>
    <n v="2459"/>
    <n v="14754"/>
    <n v="1678"/>
  </r>
  <r>
    <x v="67"/>
    <x v="54"/>
    <x v="3"/>
    <x v="0"/>
    <s v="Air Conditioner"/>
    <x v="1"/>
    <x v="2"/>
    <n v="4"/>
    <n v="38251"/>
    <n v="153004"/>
    <n v="18799"/>
  </r>
  <r>
    <x v="68"/>
    <x v="55"/>
    <x v="0"/>
    <x v="0"/>
    <s v="Air Conditioner"/>
    <x v="4"/>
    <x v="1"/>
    <n v="10"/>
    <n v="26302"/>
    <n v="263020"/>
    <n v="36479"/>
  </r>
  <r>
    <x v="69"/>
    <x v="56"/>
    <x v="0"/>
    <x v="1"/>
    <s v="Notebook Set"/>
    <x v="1"/>
    <x v="1"/>
    <n v="7"/>
    <n v="326"/>
    <n v="2282"/>
    <n v="283"/>
  </r>
  <r>
    <x v="70"/>
    <x v="57"/>
    <x v="3"/>
    <x v="3"/>
    <s v="Laptop"/>
    <x v="1"/>
    <x v="0"/>
    <n v="4"/>
    <n v="73118"/>
    <n v="292472"/>
    <n v="46379"/>
  </r>
  <r>
    <x v="71"/>
    <x v="57"/>
    <x v="1"/>
    <x v="0"/>
    <s v="Refrigerator"/>
    <x v="3"/>
    <x v="1"/>
    <n v="3"/>
    <n v="32270"/>
    <n v="96810"/>
    <n v="14816"/>
  </r>
  <r>
    <x v="72"/>
    <x v="58"/>
    <x v="0"/>
    <x v="1"/>
    <s v="Whiteboard"/>
    <x v="6"/>
    <x v="2"/>
    <n v="5"/>
    <n v="2060"/>
    <n v="10300"/>
    <n v="1660"/>
  </r>
  <r>
    <x v="73"/>
    <x v="59"/>
    <x v="1"/>
    <x v="3"/>
    <s v="Laptop"/>
    <x v="4"/>
    <x v="0"/>
    <n v="1"/>
    <n v="61654"/>
    <n v="61654"/>
    <n v="-7340"/>
  </r>
  <r>
    <x v="74"/>
    <x v="59"/>
    <x v="1"/>
    <x v="3"/>
    <s v="Laptop"/>
    <x v="4"/>
    <x v="0"/>
    <n v="1"/>
    <n v="80719"/>
    <n v="80719"/>
    <n v="7884"/>
  </r>
  <r>
    <x v="75"/>
    <x v="60"/>
    <x v="3"/>
    <x v="1"/>
    <s v="Notebook Set"/>
    <x v="4"/>
    <x v="2"/>
    <n v="12"/>
    <n v="294"/>
    <n v="3528"/>
    <n v="506"/>
  </r>
  <r>
    <x v="76"/>
    <x v="61"/>
    <x v="2"/>
    <x v="3"/>
    <s v="Mobile Phone"/>
    <x v="4"/>
    <x v="0"/>
    <n v="9"/>
    <n v="14919"/>
    <n v="134271"/>
    <n v="18421"/>
  </r>
  <r>
    <x v="77"/>
    <x v="62"/>
    <x v="1"/>
    <x v="2"/>
    <s v="Sofa"/>
    <x v="6"/>
    <x v="2"/>
    <n v="5"/>
    <n v="40692"/>
    <n v="203460"/>
    <n v="24402"/>
  </r>
  <r>
    <x v="78"/>
    <x v="62"/>
    <x v="1"/>
    <x v="2"/>
    <s v="Sofa"/>
    <x v="1"/>
    <x v="2"/>
    <n v="7"/>
    <n v="44036"/>
    <n v="308252"/>
    <n v="33051"/>
  </r>
  <r>
    <x v="79"/>
    <x v="62"/>
    <x v="3"/>
    <x v="1"/>
    <s v="Whiteboard"/>
    <x v="5"/>
    <x v="0"/>
    <n v="4"/>
    <n v="2920"/>
    <n v="11680"/>
    <n v="21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B8" firstHeaderRow="1" firstDataRow="1" firstDataCol="1"/>
  <pivotFields count="11">
    <pivotField showAll="0"/>
    <pivotField numFmtId="164" showAll="0">
      <items count="15">
        <item x="0"/>
        <item x="1"/>
        <item x="2"/>
        <item x="3"/>
        <item x="4"/>
        <item x="5"/>
        <item x="6"/>
        <item x="7"/>
        <item x="8"/>
        <item x="9"/>
        <item x="10"/>
        <item x="11"/>
        <item x="12"/>
        <item x="13"/>
        <item t="default"/>
      </items>
    </pivotField>
    <pivotField axis="axisRow" showAll="0">
      <items count="5">
        <item x="2"/>
        <item x="1"/>
        <item x="0"/>
        <item x="3"/>
        <item t="default"/>
      </items>
    </pivotField>
    <pivotField showAll="0">
      <items count="5">
        <item h="1" x="0"/>
        <item x="3"/>
        <item h="1" x="2"/>
        <item h="1" x="1"/>
        <item t="default"/>
      </items>
    </pivotField>
    <pivotField showAll="0"/>
    <pivotField showAll="0"/>
    <pivotField showAll="0"/>
    <pivotField showAll="0"/>
    <pivotField showAll="0"/>
    <pivotField dataField="1" showAll="0"/>
    <pivotField showAll="0"/>
  </pivotFields>
  <rowFields count="1">
    <field x="2"/>
  </rowFields>
  <rowItems count="5">
    <i>
      <x/>
    </i>
    <i>
      <x v="1"/>
    </i>
    <i>
      <x v="2"/>
    </i>
    <i>
      <x v="3"/>
    </i>
    <i t="grand">
      <x/>
    </i>
  </rowItems>
  <colItems count="1">
    <i/>
  </colItems>
  <dataFields count="1">
    <dataField name="Sum of Sales Am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B12" firstHeaderRow="1" firstDataRow="1" firstDataCol="1"/>
  <pivotFields count="11">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axis="axisRow" showAll="0">
      <items count="9">
        <item x="0"/>
        <item x="5"/>
        <item x="7"/>
        <item x="1"/>
        <item x="4"/>
        <item x="3"/>
        <item x="6"/>
        <item x="2"/>
        <item t="default"/>
      </items>
    </pivotField>
    <pivotField showAll="0"/>
    <pivotField showAll="0"/>
    <pivotField showAll="0"/>
    <pivotField dataField="1" showAll="0"/>
    <pivotField showAll="0"/>
  </pivotFields>
  <rowFields count="1">
    <field x="5"/>
  </rowFields>
  <rowItems count="9">
    <i>
      <x/>
    </i>
    <i>
      <x v="1"/>
    </i>
    <i>
      <x v="2"/>
    </i>
    <i>
      <x v="3"/>
    </i>
    <i>
      <x v="4"/>
    </i>
    <i>
      <x v="5"/>
    </i>
    <i>
      <x v="6"/>
    </i>
    <i>
      <x v="7"/>
    </i>
    <i t="grand">
      <x/>
    </i>
  </rowItems>
  <colItems count="1">
    <i/>
  </colItems>
  <dataFields count="1">
    <dataField name="Average of Sales Amount" fld="9" subtotal="average" baseField="5"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B8" firstHeaderRow="1" firstDataRow="1" firstDataCol="1"/>
  <pivotFields count="11">
    <pivotField showAll="0"/>
    <pivotField numFmtId="164" showAll="0">
      <items count="15">
        <item x="0"/>
        <item x="1"/>
        <item x="2"/>
        <item x="3"/>
        <item x="4"/>
        <item x="5"/>
        <item x="6"/>
        <item x="7"/>
        <item x="8"/>
        <item x="9"/>
        <item x="10"/>
        <item x="11"/>
        <item x="12"/>
        <item x="13"/>
        <item t="default"/>
      </items>
    </pivotField>
    <pivotField axis="axisRow" showAll="0">
      <items count="5">
        <item x="2"/>
        <item x="1"/>
        <item x="0"/>
        <item x="3"/>
        <item t="default"/>
      </items>
    </pivotField>
    <pivotField showAll="0"/>
    <pivotField showAll="0"/>
    <pivotField showAll="0"/>
    <pivotField showAll="0"/>
    <pivotField showAll="0"/>
    <pivotField showAll="0"/>
    <pivotField showAll="0"/>
    <pivotField dataField="1" showAll="0"/>
  </pivotFields>
  <rowFields count="1">
    <field x="2"/>
  </rowFields>
  <rowItems count="5">
    <i>
      <x/>
    </i>
    <i>
      <x v="1"/>
    </i>
    <i>
      <x v="2"/>
    </i>
    <i>
      <x v="3"/>
    </i>
    <i t="grand">
      <x/>
    </i>
  </rowItems>
  <colItems count="1">
    <i/>
  </colItems>
  <dataFields count="1">
    <dataField name="Sum of Profit" fld="10" baseField="0" baseItem="0"/>
  </dataField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F9" firstHeaderRow="1" firstDataRow="2" firstDataCol="1"/>
  <pivotFields count="11">
    <pivotField showAll="0"/>
    <pivotField numFmtId="164" showAll="0">
      <items count="15">
        <item x="0"/>
        <item x="1"/>
        <item x="2"/>
        <item x="3"/>
        <item x="4"/>
        <item x="5"/>
        <item x="6"/>
        <item x="7"/>
        <item x="8"/>
        <item x="9"/>
        <item x="10"/>
        <item x="11"/>
        <item x="12"/>
        <item x="13"/>
        <item t="default"/>
      </items>
    </pivotField>
    <pivotField axis="axisRow" showAll="0">
      <items count="5">
        <item x="2"/>
        <item x="1"/>
        <item x="0"/>
        <item x="3"/>
        <item t="default"/>
      </items>
    </pivotField>
    <pivotField axis="axisCol" showAll="0">
      <items count="5">
        <item x="0"/>
        <item x="3"/>
        <item x="2"/>
        <item x="1"/>
        <item t="default"/>
      </items>
    </pivotField>
    <pivotField showAll="0"/>
    <pivotField showAll="0"/>
    <pivotField showAll="0"/>
    <pivotField showAll="0"/>
    <pivotField showAll="0"/>
    <pivotField showAll="0"/>
    <pivotField dataField="1" showAll="0"/>
  </pivotFields>
  <rowFields count="1">
    <field x="2"/>
  </rowFields>
  <rowItems count="5">
    <i>
      <x/>
    </i>
    <i>
      <x v="1"/>
    </i>
    <i>
      <x v="2"/>
    </i>
    <i>
      <x v="3"/>
    </i>
    <i t="grand">
      <x/>
    </i>
  </rowItems>
  <colFields count="1">
    <field x="3"/>
  </colFields>
  <colItems count="5">
    <i>
      <x/>
    </i>
    <i>
      <x v="1"/>
    </i>
    <i>
      <x v="2"/>
    </i>
    <i>
      <x v="3"/>
    </i>
    <i t="grand">
      <x/>
    </i>
  </colItems>
  <dataFields count="1">
    <dataField name="Sum of Profit" fld="10"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E11" firstHeaderRow="1" firstDataRow="2" firstDataCol="1"/>
  <pivotFields count="11">
    <pivotField dataField="1" showAll="0">
      <items count="81">
        <item x="7"/>
        <item x="70"/>
        <item x="23"/>
        <item x="56"/>
        <item x="3"/>
        <item x="17"/>
        <item x="27"/>
        <item x="4"/>
        <item x="41"/>
        <item x="31"/>
        <item x="13"/>
        <item x="64"/>
        <item x="32"/>
        <item x="62"/>
        <item x="66"/>
        <item x="18"/>
        <item x="53"/>
        <item x="24"/>
        <item x="73"/>
        <item x="52"/>
        <item x="11"/>
        <item x="6"/>
        <item x="48"/>
        <item x="77"/>
        <item x="42"/>
        <item x="5"/>
        <item x="68"/>
        <item x="57"/>
        <item x="33"/>
        <item x="38"/>
        <item x="36"/>
        <item x="9"/>
        <item x="54"/>
        <item x="65"/>
        <item x="28"/>
        <item x="44"/>
        <item x="25"/>
        <item x="35"/>
        <item x="29"/>
        <item x="69"/>
        <item x="63"/>
        <item x="37"/>
        <item x="46"/>
        <item x="72"/>
        <item x="19"/>
        <item x="1"/>
        <item x="78"/>
        <item x="12"/>
        <item x="15"/>
        <item x="30"/>
        <item x="45"/>
        <item x="50"/>
        <item x="79"/>
        <item x="51"/>
        <item x="49"/>
        <item x="58"/>
        <item x="47"/>
        <item x="26"/>
        <item x="74"/>
        <item x="14"/>
        <item x="21"/>
        <item x="2"/>
        <item x="61"/>
        <item x="71"/>
        <item x="8"/>
        <item x="43"/>
        <item x="34"/>
        <item x="59"/>
        <item x="67"/>
        <item x="40"/>
        <item x="20"/>
        <item x="0"/>
        <item x="10"/>
        <item x="60"/>
        <item x="39"/>
        <item x="55"/>
        <item x="22"/>
        <item x="76"/>
        <item x="75"/>
        <item x="16"/>
        <item t="default"/>
      </items>
    </pivotField>
    <pivotField axis="axisRow" numFmtId="164" showAll="0">
      <items count="15">
        <item x="0"/>
        <item x="1"/>
        <item x="2"/>
        <item x="3"/>
        <item x="4"/>
        <item x="5"/>
        <item x="6"/>
        <item x="7"/>
        <item x="8"/>
        <item x="9"/>
        <item x="10"/>
        <item x="11"/>
        <item x="12"/>
        <item x="13"/>
        <item t="default"/>
      </items>
    </pivotField>
    <pivotField showAll="0"/>
    <pivotField showAll="0"/>
    <pivotField showAll="0"/>
    <pivotField showAll="0"/>
    <pivotField axis="axisCol" showAll="0">
      <items count="4">
        <item x="1"/>
        <item x="0"/>
        <item x="2"/>
        <item t="default"/>
      </items>
    </pivotField>
    <pivotField showAll="0"/>
    <pivotField showAll="0"/>
    <pivotField showAll="0"/>
    <pivotField showAll="0"/>
  </pivotFields>
  <rowFields count="1">
    <field x="1"/>
  </rowFields>
  <rowItems count="7">
    <i>
      <x v="1"/>
    </i>
    <i>
      <x v="2"/>
    </i>
    <i>
      <x v="3"/>
    </i>
    <i>
      <x v="4"/>
    </i>
    <i>
      <x v="5"/>
    </i>
    <i>
      <x v="6"/>
    </i>
    <i t="grand">
      <x/>
    </i>
  </rowItems>
  <colFields count="1">
    <field x="6"/>
  </colFields>
  <colItems count="4">
    <i>
      <x/>
    </i>
    <i>
      <x v="1"/>
    </i>
    <i>
      <x v="2"/>
    </i>
    <i t="grand">
      <x/>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_Category" sourceName="Product Category">
  <pivotTables>
    <pivotTable tabId="3" name="PivotTable2"/>
  </pivotTables>
  <data>
    <tabular pivotCacheId="1">
      <items count="4">
        <i x="0"/>
        <i x="3"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 Category" cache="Slicer_Product_Category" caption="Product 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F19" sqref="F19"/>
    </sheetView>
  </sheetViews>
  <sheetFormatPr defaultRowHeight="15" x14ac:dyDescent="0.25"/>
  <cols>
    <col min="1" max="1" width="13.140625" bestFit="1" customWidth="1"/>
    <col min="2" max="2" width="20" bestFit="1" customWidth="1"/>
  </cols>
  <sheetData>
    <row r="3" spans="1:2" x14ac:dyDescent="0.25">
      <c r="A3" s="2" t="s">
        <v>126</v>
      </c>
      <c r="B3" t="s">
        <v>128</v>
      </c>
    </row>
    <row r="4" spans="1:2" x14ac:dyDescent="0.25">
      <c r="A4" s="3" t="s">
        <v>41</v>
      </c>
      <c r="B4" s="4">
        <v>1363383</v>
      </c>
    </row>
    <row r="5" spans="1:2" x14ac:dyDescent="0.25">
      <c r="A5" s="3" t="s">
        <v>18</v>
      </c>
      <c r="B5" s="4">
        <v>350724</v>
      </c>
    </row>
    <row r="6" spans="1:2" x14ac:dyDescent="0.25">
      <c r="A6" s="3" t="s">
        <v>12</v>
      </c>
      <c r="B6" s="4">
        <v>249180</v>
      </c>
    </row>
    <row r="7" spans="1:2" x14ac:dyDescent="0.25">
      <c r="A7" s="3" t="s">
        <v>50</v>
      </c>
      <c r="B7" s="4">
        <v>791601</v>
      </c>
    </row>
    <row r="8" spans="1:2" x14ac:dyDescent="0.25">
      <c r="A8" s="3" t="s">
        <v>127</v>
      </c>
      <c r="B8" s="4">
        <v>2754888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2"/>
  <sheetViews>
    <sheetView workbookViewId="0">
      <selection activeCell="C26" sqref="C26"/>
    </sheetView>
  </sheetViews>
  <sheetFormatPr defaultRowHeight="15" x14ac:dyDescent="0.25"/>
  <cols>
    <col min="1" max="1" width="15" bestFit="1" customWidth="1"/>
    <col min="2" max="2" width="23.5703125" bestFit="1" customWidth="1"/>
  </cols>
  <sheetData>
    <row r="3" spans="1:2" x14ac:dyDescent="0.25">
      <c r="A3" s="2" t="s">
        <v>126</v>
      </c>
      <c r="B3" t="s">
        <v>131</v>
      </c>
    </row>
    <row r="4" spans="1:2" x14ac:dyDescent="0.25">
      <c r="A4" s="3" t="s">
        <v>15</v>
      </c>
      <c r="B4" s="4">
        <v>90824.5</v>
      </c>
    </row>
    <row r="5" spans="1:2" x14ac:dyDescent="0.25">
      <c r="A5" s="3" t="s">
        <v>42</v>
      </c>
      <c r="B5" s="4">
        <v>98564.636363636368</v>
      </c>
    </row>
    <row r="6" spans="1:2" x14ac:dyDescent="0.25">
      <c r="A6" s="3" t="s">
        <v>77</v>
      </c>
      <c r="B6" s="4">
        <v>65157</v>
      </c>
    </row>
    <row r="7" spans="1:2" x14ac:dyDescent="0.25">
      <c r="A7" s="3" t="s">
        <v>21</v>
      </c>
      <c r="B7" s="4">
        <v>146952.27272727274</v>
      </c>
    </row>
    <row r="8" spans="1:2" x14ac:dyDescent="0.25">
      <c r="A8" s="3" t="s">
        <v>39</v>
      </c>
      <c r="B8" s="4">
        <v>78804.625</v>
      </c>
    </row>
    <row r="9" spans="1:2" x14ac:dyDescent="0.25">
      <c r="A9" s="3" t="s">
        <v>36</v>
      </c>
      <c r="B9" s="4">
        <v>87572.909090909088</v>
      </c>
    </row>
    <row r="10" spans="1:2" x14ac:dyDescent="0.25">
      <c r="A10" s="3" t="s">
        <v>47</v>
      </c>
      <c r="B10" s="4">
        <v>73902.090909090912</v>
      </c>
    </row>
    <row r="11" spans="1:2" x14ac:dyDescent="0.25">
      <c r="A11" s="3" t="s">
        <v>33</v>
      </c>
      <c r="B11" s="4">
        <v>83779.8</v>
      </c>
    </row>
    <row r="12" spans="1:2" x14ac:dyDescent="0.25">
      <c r="A12" s="3" t="s">
        <v>127</v>
      </c>
      <c r="B12" s="4">
        <v>93025.612500000003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A15" sqref="A15"/>
    </sheetView>
  </sheetViews>
  <sheetFormatPr defaultRowHeight="15" x14ac:dyDescent="0.25"/>
  <cols>
    <col min="1" max="1" width="13.140625" bestFit="1" customWidth="1"/>
    <col min="2" max="2" width="12.5703125" bestFit="1" customWidth="1"/>
  </cols>
  <sheetData>
    <row r="3" spans="1:2" x14ac:dyDescent="0.25">
      <c r="A3" s="2" t="s">
        <v>126</v>
      </c>
      <c r="B3" t="s">
        <v>130</v>
      </c>
    </row>
    <row r="4" spans="1:2" x14ac:dyDescent="0.25">
      <c r="A4" s="3" t="s">
        <v>41</v>
      </c>
      <c r="B4" s="4">
        <v>173799</v>
      </c>
    </row>
    <row r="5" spans="1:2" x14ac:dyDescent="0.25">
      <c r="A5" s="3" t="s">
        <v>18</v>
      </c>
      <c r="B5" s="4">
        <v>211463</v>
      </c>
    </row>
    <row r="6" spans="1:2" x14ac:dyDescent="0.25">
      <c r="A6" s="3" t="s">
        <v>12</v>
      </c>
      <c r="B6" s="4">
        <v>197661</v>
      </c>
    </row>
    <row r="7" spans="1:2" x14ac:dyDescent="0.25">
      <c r="A7" s="3" t="s">
        <v>50</v>
      </c>
      <c r="B7" s="4">
        <v>147720</v>
      </c>
    </row>
    <row r="8" spans="1:2" x14ac:dyDescent="0.25">
      <c r="A8" s="3" t="s">
        <v>127</v>
      </c>
      <c r="B8" s="4">
        <v>730643</v>
      </c>
    </row>
  </sheetData>
  <conditionalFormatting pivot="1" sqref="B4:B8">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9"/>
  <sheetViews>
    <sheetView tabSelected="1" workbookViewId="0">
      <selection activeCell="E16" sqref="E16"/>
    </sheetView>
  </sheetViews>
  <sheetFormatPr defaultRowHeight="15" x14ac:dyDescent="0.25"/>
  <cols>
    <col min="1" max="1" width="13.140625" bestFit="1" customWidth="1"/>
    <col min="2" max="2" width="16.28515625" bestFit="1" customWidth="1"/>
    <col min="3" max="3" width="10.5703125" bestFit="1" customWidth="1"/>
    <col min="4" max="4" width="9.28515625" bestFit="1" customWidth="1"/>
    <col min="5" max="5" width="10.140625" bestFit="1" customWidth="1"/>
    <col min="6" max="6" width="11.28515625" bestFit="1" customWidth="1"/>
  </cols>
  <sheetData>
    <row r="3" spans="1:6" x14ac:dyDescent="0.25">
      <c r="A3" s="2" t="s">
        <v>130</v>
      </c>
      <c r="B3" s="2" t="s">
        <v>129</v>
      </c>
    </row>
    <row r="4" spans="1:6" x14ac:dyDescent="0.25">
      <c r="A4" s="2" t="s">
        <v>126</v>
      </c>
      <c r="B4" t="s">
        <v>13</v>
      </c>
      <c r="C4" t="s">
        <v>31</v>
      </c>
      <c r="D4" t="s">
        <v>23</v>
      </c>
      <c r="E4" t="s">
        <v>19</v>
      </c>
      <c r="F4" t="s">
        <v>127</v>
      </c>
    </row>
    <row r="5" spans="1:6" x14ac:dyDescent="0.25">
      <c r="A5" s="3" t="s">
        <v>41</v>
      </c>
      <c r="B5" s="4">
        <v>92816</v>
      </c>
      <c r="C5" s="4">
        <v>76615</v>
      </c>
      <c r="D5" s="4">
        <v>4161</v>
      </c>
      <c r="E5" s="4">
        <v>207</v>
      </c>
      <c r="F5" s="4">
        <v>173799</v>
      </c>
    </row>
    <row r="6" spans="1:6" x14ac:dyDescent="0.25">
      <c r="A6" s="3" t="s">
        <v>18</v>
      </c>
      <c r="B6" s="4">
        <v>78950</v>
      </c>
      <c r="C6" s="4">
        <v>25295</v>
      </c>
      <c r="D6" s="4">
        <v>102378</v>
      </c>
      <c r="E6" s="4">
        <v>4840</v>
      </c>
      <c r="F6" s="4">
        <v>211463</v>
      </c>
    </row>
    <row r="7" spans="1:6" x14ac:dyDescent="0.25">
      <c r="A7" s="3" t="s">
        <v>12</v>
      </c>
      <c r="B7" s="4">
        <v>98663</v>
      </c>
      <c r="C7" s="4">
        <v>45715</v>
      </c>
      <c r="D7" s="4">
        <v>43680</v>
      </c>
      <c r="E7" s="4">
        <v>9603</v>
      </c>
      <c r="F7" s="4">
        <v>197661</v>
      </c>
    </row>
    <row r="8" spans="1:6" x14ac:dyDescent="0.25">
      <c r="A8" s="3" t="s">
        <v>50</v>
      </c>
      <c r="B8" s="4">
        <v>48126</v>
      </c>
      <c r="C8" s="4">
        <v>60867</v>
      </c>
      <c r="D8" s="4">
        <v>33712</v>
      </c>
      <c r="E8" s="4">
        <v>5015</v>
      </c>
      <c r="F8" s="4">
        <v>147720</v>
      </c>
    </row>
    <row r="9" spans="1:6" x14ac:dyDescent="0.25">
      <c r="A9" s="3" t="s">
        <v>127</v>
      </c>
      <c r="B9" s="4">
        <v>318555</v>
      </c>
      <c r="C9" s="4">
        <v>208492</v>
      </c>
      <c r="D9" s="4">
        <v>183931</v>
      </c>
      <c r="E9" s="4">
        <v>19665</v>
      </c>
      <c r="F9" s="4">
        <v>730643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11"/>
  <sheetViews>
    <sheetView workbookViewId="0">
      <selection activeCell="F19" sqref="F19"/>
    </sheetView>
  </sheetViews>
  <sheetFormatPr defaultRowHeight="15" x14ac:dyDescent="0.25"/>
  <cols>
    <col min="1" max="1" width="16.5703125" customWidth="1"/>
    <col min="2" max="2" width="16.28515625" bestFit="1" customWidth="1"/>
    <col min="3" max="3" width="6.140625" bestFit="1" customWidth="1"/>
    <col min="4" max="4" width="10.5703125" bestFit="1" customWidth="1"/>
    <col min="5" max="5" width="11.28515625" bestFit="1" customWidth="1"/>
  </cols>
  <sheetData>
    <row r="3" spans="1:5" x14ac:dyDescent="0.25">
      <c r="A3" s="2" t="s">
        <v>132</v>
      </c>
      <c r="B3" s="2" t="s">
        <v>129</v>
      </c>
    </row>
    <row r="4" spans="1:5" x14ac:dyDescent="0.25">
      <c r="A4" s="2" t="s">
        <v>126</v>
      </c>
      <c r="B4" t="s">
        <v>25</v>
      </c>
      <c r="C4" t="s">
        <v>16</v>
      </c>
      <c r="D4" t="s">
        <v>54</v>
      </c>
      <c r="E4" t="s">
        <v>127</v>
      </c>
    </row>
    <row r="5" spans="1:5" x14ac:dyDescent="0.25">
      <c r="A5" s="5" t="s">
        <v>133</v>
      </c>
      <c r="B5" s="4">
        <v>7</v>
      </c>
      <c r="C5" s="4">
        <v>7</v>
      </c>
      <c r="D5" s="4">
        <v>1</v>
      </c>
      <c r="E5" s="4">
        <v>15</v>
      </c>
    </row>
    <row r="6" spans="1:5" x14ac:dyDescent="0.25">
      <c r="A6" s="5" t="s">
        <v>134</v>
      </c>
      <c r="B6" s="4">
        <v>4</v>
      </c>
      <c r="C6" s="4">
        <v>5</v>
      </c>
      <c r="D6" s="4">
        <v>3</v>
      </c>
      <c r="E6" s="4">
        <v>12</v>
      </c>
    </row>
    <row r="7" spans="1:5" x14ac:dyDescent="0.25">
      <c r="A7" s="5" t="s">
        <v>135</v>
      </c>
      <c r="B7" s="4">
        <v>7</v>
      </c>
      <c r="C7" s="4">
        <v>6</v>
      </c>
      <c r="D7" s="4">
        <v>6</v>
      </c>
      <c r="E7" s="4">
        <v>19</v>
      </c>
    </row>
    <row r="8" spans="1:5" x14ac:dyDescent="0.25">
      <c r="A8" s="5" t="s">
        <v>136</v>
      </c>
      <c r="B8" s="4">
        <v>3</v>
      </c>
      <c r="C8" s="4">
        <v>5</v>
      </c>
      <c r="D8" s="4">
        <v>5</v>
      </c>
      <c r="E8" s="4">
        <v>13</v>
      </c>
    </row>
    <row r="9" spans="1:5" x14ac:dyDescent="0.25">
      <c r="A9" s="5" t="s">
        <v>137</v>
      </c>
      <c r="B9" s="4">
        <v>4</v>
      </c>
      <c r="C9" s="4">
        <v>3</v>
      </c>
      <c r="D9" s="4">
        <v>3</v>
      </c>
      <c r="E9" s="4">
        <v>10</v>
      </c>
    </row>
    <row r="10" spans="1:5" x14ac:dyDescent="0.25">
      <c r="A10" s="5" t="s">
        <v>138</v>
      </c>
      <c r="B10" s="4">
        <v>2</v>
      </c>
      <c r="C10" s="4">
        <v>5</v>
      </c>
      <c r="D10" s="4">
        <v>4</v>
      </c>
      <c r="E10" s="4">
        <v>11</v>
      </c>
    </row>
    <row r="11" spans="1:5" x14ac:dyDescent="0.25">
      <c r="A11" s="5" t="s">
        <v>127</v>
      </c>
      <c r="B11" s="4">
        <v>27</v>
      </c>
      <c r="C11" s="4">
        <v>31</v>
      </c>
      <c r="D11" s="4">
        <v>22</v>
      </c>
      <c r="E11" s="4">
        <v>80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1"/>
  <sheetViews>
    <sheetView zoomScale="91" zoomScaleNormal="91" workbookViewId="0">
      <selection activeCell="G4" sqref="G4"/>
    </sheetView>
  </sheetViews>
  <sheetFormatPr defaultRowHeight="15" x14ac:dyDescent="0.25"/>
  <cols>
    <col min="1" max="1" width="10" customWidth="1"/>
    <col min="2" max="2" width="13" customWidth="1"/>
    <col min="3" max="3" width="10" customWidth="1"/>
    <col min="4" max="6" width="16" customWidth="1"/>
    <col min="7" max="7" width="13" customWidth="1"/>
    <col min="8" max="8" width="10" customWidth="1"/>
    <col min="9" max="9" width="11" customWidth="1"/>
    <col min="10" max="10" width="13" customWidth="1"/>
    <col min="11" max="11" width="10" customWidth="1"/>
  </cols>
  <sheetData>
    <row r="1" spans="1:11" x14ac:dyDescent="0.25">
      <c r="A1" t="s">
        <v>0</v>
      </c>
      <c r="B1" t="s">
        <v>1</v>
      </c>
      <c r="C1" t="s">
        <v>2</v>
      </c>
      <c r="D1" t="s">
        <v>3</v>
      </c>
      <c r="E1" t="s">
        <v>4</v>
      </c>
      <c r="F1" t="s">
        <v>5</v>
      </c>
      <c r="G1" t="s">
        <v>6</v>
      </c>
      <c r="H1" t="s">
        <v>7</v>
      </c>
      <c r="I1" t="s">
        <v>8</v>
      </c>
      <c r="J1" t="s">
        <v>9</v>
      </c>
      <c r="K1" t="s">
        <v>10</v>
      </c>
    </row>
    <row r="2" spans="1:11" x14ac:dyDescent="0.25">
      <c r="A2" t="s">
        <v>11</v>
      </c>
      <c r="B2" s="1">
        <v>46026</v>
      </c>
      <c r="C2" t="s">
        <v>12</v>
      </c>
      <c r="D2" t="s">
        <v>13</v>
      </c>
      <c r="E2" t="s">
        <v>14</v>
      </c>
      <c r="F2" t="s">
        <v>15</v>
      </c>
      <c r="G2" t="s">
        <v>16</v>
      </c>
      <c r="H2">
        <v>4</v>
      </c>
      <c r="I2">
        <v>27707</v>
      </c>
      <c r="J2">
        <v>110828</v>
      </c>
      <c r="K2">
        <v>11650</v>
      </c>
    </row>
    <row r="3" spans="1:11" x14ac:dyDescent="0.25">
      <c r="A3" t="s">
        <v>17</v>
      </c>
      <c r="B3" s="1">
        <v>46029</v>
      </c>
      <c r="C3" t="s">
        <v>18</v>
      </c>
      <c r="D3" t="s">
        <v>19</v>
      </c>
      <c r="E3" t="s">
        <v>20</v>
      </c>
      <c r="F3" t="s">
        <v>21</v>
      </c>
      <c r="G3" t="s">
        <v>16</v>
      </c>
      <c r="H3">
        <v>11</v>
      </c>
      <c r="I3">
        <v>617</v>
      </c>
      <c r="J3">
        <v>6787</v>
      </c>
      <c r="K3">
        <v>732</v>
      </c>
    </row>
    <row r="4" spans="1:11" x14ac:dyDescent="0.25">
      <c r="A4" t="s">
        <v>22</v>
      </c>
      <c r="B4" s="1">
        <v>46033</v>
      </c>
      <c r="C4" t="s">
        <v>18</v>
      </c>
      <c r="D4" t="s">
        <v>23</v>
      </c>
      <c r="E4" t="s">
        <v>24</v>
      </c>
      <c r="F4" t="s">
        <v>15</v>
      </c>
      <c r="G4" t="s">
        <v>25</v>
      </c>
      <c r="H4">
        <v>10</v>
      </c>
      <c r="I4">
        <v>4983</v>
      </c>
      <c r="J4">
        <v>49830</v>
      </c>
      <c r="K4">
        <v>7934</v>
      </c>
    </row>
    <row r="5" spans="1:11" x14ac:dyDescent="0.25">
      <c r="A5" t="s">
        <v>26</v>
      </c>
      <c r="B5" s="1">
        <v>46034</v>
      </c>
      <c r="C5" t="s">
        <v>18</v>
      </c>
      <c r="D5" t="s">
        <v>13</v>
      </c>
      <c r="E5" t="s">
        <v>27</v>
      </c>
      <c r="F5" t="s">
        <v>15</v>
      </c>
      <c r="G5" t="s">
        <v>25</v>
      </c>
      <c r="H5">
        <v>10</v>
      </c>
      <c r="I5">
        <v>36850</v>
      </c>
      <c r="J5">
        <v>368500</v>
      </c>
      <c r="K5">
        <v>65829</v>
      </c>
    </row>
    <row r="6" spans="1:11" x14ac:dyDescent="0.25">
      <c r="A6" t="s">
        <v>28</v>
      </c>
      <c r="B6" s="1">
        <v>46037</v>
      </c>
      <c r="C6" t="s">
        <v>12</v>
      </c>
      <c r="D6" t="s">
        <v>13</v>
      </c>
      <c r="E6" t="s">
        <v>29</v>
      </c>
      <c r="F6" t="s">
        <v>15</v>
      </c>
      <c r="G6" t="s">
        <v>25</v>
      </c>
      <c r="H6">
        <v>12</v>
      </c>
      <c r="I6">
        <v>3481</v>
      </c>
      <c r="J6">
        <v>41772</v>
      </c>
      <c r="K6">
        <v>5238</v>
      </c>
    </row>
    <row r="7" spans="1:11" x14ac:dyDescent="0.25">
      <c r="A7" t="s">
        <v>30</v>
      </c>
      <c r="B7" s="1">
        <v>46040</v>
      </c>
      <c r="C7" t="s">
        <v>18</v>
      </c>
      <c r="D7" t="s">
        <v>31</v>
      </c>
      <c r="E7" t="s">
        <v>32</v>
      </c>
      <c r="F7" t="s">
        <v>33</v>
      </c>
      <c r="G7" t="s">
        <v>16</v>
      </c>
      <c r="H7">
        <v>9</v>
      </c>
      <c r="I7">
        <v>1456</v>
      </c>
      <c r="J7">
        <v>13104</v>
      </c>
      <c r="K7">
        <v>1174</v>
      </c>
    </row>
    <row r="8" spans="1:11" x14ac:dyDescent="0.25">
      <c r="A8" t="s">
        <v>34</v>
      </c>
      <c r="B8" s="1">
        <v>46042</v>
      </c>
      <c r="C8" t="s">
        <v>12</v>
      </c>
      <c r="D8" t="s">
        <v>23</v>
      </c>
      <c r="E8" t="s">
        <v>35</v>
      </c>
      <c r="F8" t="s">
        <v>36</v>
      </c>
      <c r="G8" t="s">
        <v>16</v>
      </c>
      <c r="H8">
        <v>7</v>
      </c>
      <c r="I8">
        <v>8006</v>
      </c>
      <c r="J8">
        <v>56042</v>
      </c>
      <c r="K8">
        <v>6443</v>
      </c>
    </row>
    <row r="9" spans="1:11" x14ac:dyDescent="0.25">
      <c r="A9" t="s">
        <v>37</v>
      </c>
      <c r="B9" s="1">
        <v>46045</v>
      </c>
      <c r="C9" t="s">
        <v>18</v>
      </c>
      <c r="D9" t="s">
        <v>31</v>
      </c>
      <c r="E9" t="s">
        <v>38</v>
      </c>
      <c r="F9" t="s">
        <v>39</v>
      </c>
      <c r="G9" t="s">
        <v>16</v>
      </c>
      <c r="H9">
        <v>3</v>
      </c>
      <c r="I9">
        <v>15358</v>
      </c>
      <c r="J9">
        <v>46074</v>
      </c>
      <c r="K9">
        <v>9441</v>
      </c>
    </row>
    <row r="10" spans="1:11" x14ac:dyDescent="0.25">
      <c r="A10" t="s">
        <v>40</v>
      </c>
      <c r="B10" s="1">
        <v>46045</v>
      </c>
      <c r="C10" t="s">
        <v>41</v>
      </c>
      <c r="D10" t="s">
        <v>13</v>
      </c>
      <c r="E10" t="s">
        <v>29</v>
      </c>
      <c r="F10" t="s">
        <v>42</v>
      </c>
      <c r="G10" t="s">
        <v>25</v>
      </c>
      <c r="H10">
        <v>10</v>
      </c>
      <c r="I10">
        <v>2299</v>
      </c>
      <c r="J10">
        <v>22990</v>
      </c>
      <c r="K10">
        <v>2629</v>
      </c>
    </row>
    <row r="11" spans="1:11" x14ac:dyDescent="0.25">
      <c r="A11" t="s">
        <v>43</v>
      </c>
      <c r="B11" s="1">
        <v>46046</v>
      </c>
      <c r="C11" t="s">
        <v>12</v>
      </c>
      <c r="D11" t="s">
        <v>19</v>
      </c>
      <c r="E11" t="s">
        <v>44</v>
      </c>
      <c r="F11" t="s">
        <v>15</v>
      </c>
      <c r="G11" t="s">
        <v>25</v>
      </c>
      <c r="H11">
        <v>8</v>
      </c>
      <c r="I11">
        <v>114</v>
      </c>
      <c r="J11">
        <v>912</v>
      </c>
      <c r="K11">
        <v>181</v>
      </c>
    </row>
    <row r="12" spans="1:11" x14ac:dyDescent="0.25">
      <c r="A12" t="s">
        <v>45</v>
      </c>
      <c r="B12" s="1">
        <v>46049</v>
      </c>
      <c r="C12" t="s">
        <v>12</v>
      </c>
      <c r="D12" t="s">
        <v>19</v>
      </c>
      <c r="E12" t="s">
        <v>46</v>
      </c>
      <c r="F12" t="s">
        <v>47</v>
      </c>
      <c r="G12" t="s">
        <v>25</v>
      </c>
      <c r="H12">
        <v>5</v>
      </c>
      <c r="I12">
        <v>214</v>
      </c>
      <c r="J12">
        <v>1070</v>
      </c>
      <c r="K12">
        <v>198</v>
      </c>
    </row>
    <row r="13" spans="1:11" x14ac:dyDescent="0.25">
      <c r="A13" t="s">
        <v>48</v>
      </c>
      <c r="B13" s="1">
        <v>46050</v>
      </c>
      <c r="C13" t="s">
        <v>41</v>
      </c>
      <c r="D13" t="s">
        <v>13</v>
      </c>
      <c r="E13" t="s">
        <v>29</v>
      </c>
      <c r="F13" t="s">
        <v>36</v>
      </c>
      <c r="G13" t="s">
        <v>25</v>
      </c>
      <c r="H13">
        <v>1</v>
      </c>
      <c r="I13">
        <v>1603</v>
      </c>
      <c r="J13">
        <v>1603</v>
      </c>
      <c r="K13">
        <v>-89</v>
      </c>
    </row>
    <row r="14" spans="1:11" x14ac:dyDescent="0.25">
      <c r="A14" t="s">
        <v>49</v>
      </c>
      <c r="B14" s="1">
        <v>46050</v>
      </c>
      <c r="C14" t="s">
        <v>50</v>
      </c>
      <c r="D14" t="s">
        <v>13</v>
      </c>
      <c r="E14" t="s">
        <v>29</v>
      </c>
      <c r="F14" t="s">
        <v>39</v>
      </c>
      <c r="G14" t="s">
        <v>16</v>
      </c>
      <c r="H14">
        <v>11</v>
      </c>
      <c r="I14">
        <v>1222</v>
      </c>
      <c r="J14">
        <v>13442</v>
      </c>
      <c r="K14">
        <v>2695</v>
      </c>
    </row>
    <row r="15" spans="1:11" x14ac:dyDescent="0.25">
      <c r="A15" t="s">
        <v>51</v>
      </c>
      <c r="B15" s="1">
        <v>46051</v>
      </c>
      <c r="C15" t="s">
        <v>50</v>
      </c>
      <c r="D15" t="s">
        <v>13</v>
      </c>
      <c r="E15" t="s">
        <v>14</v>
      </c>
      <c r="F15" t="s">
        <v>39</v>
      </c>
      <c r="G15" t="s">
        <v>16</v>
      </c>
      <c r="H15">
        <v>9</v>
      </c>
      <c r="I15">
        <v>34171</v>
      </c>
      <c r="J15">
        <v>307539</v>
      </c>
      <c r="K15">
        <v>26632</v>
      </c>
    </row>
    <row r="16" spans="1:11" x14ac:dyDescent="0.25">
      <c r="A16" t="s">
        <v>52</v>
      </c>
      <c r="B16" s="1">
        <v>46052</v>
      </c>
      <c r="C16" t="s">
        <v>18</v>
      </c>
      <c r="D16" t="s">
        <v>23</v>
      </c>
      <c r="E16" t="s">
        <v>53</v>
      </c>
      <c r="F16" t="s">
        <v>15</v>
      </c>
      <c r="G16" t="s">
        <v>54</v>
      </c>
      <c r="H16">
        <v>3</v>
      </c>
      <c r="I16">
        <v>34853</v>
      </c>
      <c r="J16">
        <v>104559</v>
      </c>
      <c r="K16">
        <v>19313</v>
      </c>
    </row>
    <row r="17" spans="1:11" x14ac:dyDescent="0.25">
      <c r="A17" t="s">
        <v>55</v>
      </c>
      <c r="B17" s="1">
        <v>46057</v>
      </c>
      <c r="C17" t="s">
        <v>50</v>
      </c>
      <c r="D17" t="s">
        <v>23</v>
      </c>
      <c r="E17" t="s">
        <v>35</v>
      </c>
      <c r="F17" t="s">
        <v>36</v>
      </c>
      <c r="G17" t="s">
        <v>16</v>
      </c>
      <c r="H17">
        <v>9</v>
      </c>
      <c r="I17">
        <v>9082</v>
      </c>
      <c r="J17">
        <v>81738</v>
      </c>
      <c r="K17">
        <v>7928</v>
      </c>
    </row>
    <row r="18" spans="1:11" x14ac:dyDescent="0.25">
      <c r="A18" t="s">
        <v>56</v>
      </c>
      <c r="B18" s="1">
        <v>46059</v>
      </c>
      <c r="C18" t="s">
        <v>12</v>
      </c>
      <c r="D18" t="s">
        <v>19</v>
      </c>
      <c r="E18" t="s">
        <v>44</v>
      </c>
      <c r="F18" t="s">
        <v>42</v>
      </c>
      <c r="G18" t="s">
        <v>16</v>
      </c>
      <c r="H18">
        <v>9</v>
      </c>
      <c r="I18">
        <v>107</v>
      </c>
      <c r="J18">
        <v>963</v>
      </c>
      <c r="K18">
        <v>200</v>
      </c>
    </row>
    <row r="19" spans="1:11" x14ac:dyDescent="0.25">
      <c r="A19" t="s">
        <v>57</v>
      </c>
      <c r="B19" s="1">
        <v>46064</v>
      </c>
      <c r="C19" t="s">
        <v>12</v>
      </c>
      <c r="D19" t="s">
        <v>19</v>
      </c>
      <c r="E19" t="s">
        <v>46</v>
      </c>
      <c r="F19" t="s">
        <v>39</v>
      </c>
      <c r="G19" t="s">
        <v>16</v>
      </c>
      <c r="H19">
        <v>7</v>
      </c>
      <c r="I19">
        <v>292</v>
      </c>
      <c r="J19">
        <v>2044</v>
      </c>
      <c r="K19">
        <v>402</v>
      </c>
    </row>
    <row r="20" spans="1:11" x14ac:dyDescent="0.25">
      <c r="A20" t="s">
        <v>58</v>
      </c>
      <c r="B20" s="1">
        <v>46065</v>
      </c>
      <c r="C20" t="s">
        <v>18</v>
      </c>
      <c r="D20" t="s">
        <v>31</v>
      </c>
      <c r="E20" t="s">
        <v>32</v>
      </c>
      <c r="F20" t="s">
        <v>21</v>
      </c>
      <c r="G20" t="s">
        <v>25</v>
      </c>
      <c r="H20">
        <v>3</v>
      </c>
      <c r="I20">
        <v>1851</v>
      </c>
      <c r="J20">
        <v>5553</v>
      </c>
      <c r="K20">
        <v>1180</v>
      </c>
    </row>
    <row r="21" spans="1:11" x14ac:dyDescent="0.25">
      <c r="A21" t="s">
        <v>59</v>
      </c>
      <c r="B21" s="1">
        <v>46066</v>
      </c>
      <c r="C21" t="s">
        <v>41</v>
      </c>
      <c r="D21" t="s">
        <v>13</v>
      </c>
      <c r="E21" t="s">
        <v>29</v>
      </c>
      <c r="F21" t="s">
        <v>36</v>
      </c>
      <c r="G21" t="s">
        <v>25</v>
      </c>
      <c r="H21">
        <v>4</v>
      </c>
      <c r="I21">
        <v>3293</v>
      </c>
      <c r="J21">
        <v>13172</v>
      </c>
      <c r="K21">
        <v>2716</v>
      </c>
    </row>
    <row r="22" spans="1:11" x14ac:dyDescent="0.25">
      <c r="A22" t="s">
        <v>60</v>
      </c>
      <c r="B22" s="1">
        <v>46072</v>
      </c>
      <c r="C22" t="s">
        <v>41</v>
      </c>
      <c r="D22" t="s">
        <v>23</v>
      </c>
      <c r="E22" t="s">
        <v>24</v>
      </c>
      <c r="F22" t="s">
        <v>39</v>
      </c>
      <c r="G22" t="s">
        <v>54</v>
      </c>
      <c r="H22">
        <v>2</v>
      </c>
      <c r="I22">
        <v>11779</v>
      </c>
      <c r="J22">
        <v>23558</v>
      </c>
      <c r="K22">
        <v>4161</v>
      </c>
    </row>
    <row r="23" spans="1:11" x14ac:dyDescent="0.25">
      <c r="A23" t="s">
        <v>61</v>
      </c>
      <c r="B23" s="1">
        <v>46073</v>
      </c>
      <c r="C23" t="s">
        <v>12</v>
      </c>
      <c r="D23" t="s">
        <v>19</v>
      </c>
      <c r="E23" t="s">
        <v>46</v>
      </c>
      <c r="F23" t="s">
        <v>47</v>
      </c>
      <c r="G23" t="s">
        <v>54</v>
      </c>
      <c r="H23">
        <v>10</v>
      </c>
      <c r="I23">
        <v>496</v>
      </c>
      <c r="J23">
        <v>4960</v>
      </c>
      <c r="K23">
        <v>657</v>
      </c>
    </row>
    <row r="24" spans="1:11" x14ac:dyDescent="0.25">
      <c r="A24" t="s">
        <v>62</v>
      </c>
      <c r="B24" s="1">
        <v>46077</v>
      </c>
      <c r="C24" t="s">
        <v>41</v>
      </c>
      <c r="D24" t="s">
        <v>13</v>
      </c>
      <c r="E24" t="s">
        <v>14</v>
      </c>
      <c r="F24" t="s">
        <v>47</v>
      </c>
      <c r="G24" t="s">
        <v>25</v>
      </c>
      <c r="H24">
        <v>12</v>
      </c>
      <c r="I24">
        <v>21251</v>
      </c>
      <c r="J24">
        <v>255012</v>
      </c>
      <c r="K24">
        <v>27819</v>
      </c>
    </row>
    <row r="25" spans="1:11" x14ac:dyDescent="0.25">
      <c r="A25" t="s">
        <v>63</v>
      </c>
      <c r="B25" s="1">
        <v>46078</v>
      </c>
      <c r="C25" t="s">
        <v>50</v>
      </c>
      <c r="D25" t="s">
        <v>23</v>
      </c>
      <c r="E25" t="s">
        <v>53</v>
      </c>
      <c r="F25" t="s">
        <v>15</v>
      </c>
      <c r="G25" t="s">
        <v>16</v>
      </c>
      <c r="H25">
        <v>3</v>
      </c>
      <c r="I25">
        <v>37876</v>
      </c>
      <c r="J25">
        <v>113628</v>
      </c>
      <c r="K25">
        <v>13511</v>
      </c>
    </row>
    <row r="26" spans="1:11" x14ac:dyDescent="0.25">
      <c r="A26" t="s">
        <v>64</v>
      </c>
      <c r="B26" s="1">
        <v>46079</v>
      </c>
      <c r="C26" t="s">
        <v>50</v>
      </c>
      <c r="D26" t="s">
        <v>31</v>
      </c>
      <c r="E26" t="s">
        <v>65</v>
      </c>
      <c r="F26" t="s">
        <v>39</v>
      </c>
      <c r="G26" t="s">
        <v>16</v>
      </c>
      <c r="H26">
        <v>6</v>
      </c>
      <c r="I26">
        <v>11378</v>
      </c>
      <c r="J26">
        <v>68268</v>
      </c>
      <c r="K26">
        <v>7661</v>
      </c>
    </row>
    <row r="27" spans="1:11" x14ac:dyDescent="0.25">
      <c r="A27" t="s">
        <v>66</v>
      </c>
      <c r="B27" s="1">
        <v>46079</v>
      </c>
      <c r="C27" t="s">
        <v>50</v>
      </c>
      <c r="D27" t="s">
        <v>23</v>
      </c>
      <c r="E27" t="s">
        <v>67</v>
      </c>
      <c r="F27" t="s">
        <v>33</v>
      </c>
      <c r="G27" t="s">
        <v>25</v>
      </c>
      <c r="H27">
        <v>2</v>
      </c>
      <c r="I27">
        <v>5633</v>
      </c>
      <c r="J27">
        <v>11266</v>
      </c>
      <c r="K27">
        <v>2255</v>
      </c>
    </row>
    <row r="28" spans="1:11" x14ac:dyDescent="0.25">
      <c r="A28" t="s">
        <v>68</v>
      </c>
      <c r="B28" s="1">
        <v>46080</v>
      </c>
      <c r="C28" t="s">
        <v>41</v>
      </c>
      <c r="D28" t="s">
        <v>13</v>
      </c>
      <c r="E28" t="s">
        <v>14</v>
      </c>
      <c r="F28" t="s">
        <v>21</v>
      </c>
      <c r="G28" t="s">
        <v>54</v>
      </c>
      <c r="H28">
        <v>1</v>
      </c>
      <c r="I28">
        <v>35675</v>
      </c>
      <c r="J28">
        <v>35675</v>
      </c>
      <c r="K28">
        <v>-936</v>
      </c>
    </row>
    <row r="29" spans="1:11" x14ac:dyDescent="0.25">
      <c r="A29" t="s">
        <v>69</v>
      </c>
      <c r="B29" s="1">
        <v>46085</v>
      </c>
      <c r="C29" t="s">
        <v>41</v>
      </c>
      <c r="D29" t="s">
        <v>19</v>
      </c>
      <c r="E29" t="s">
        <v>44</v>
      </c>
      <c r="F29" t="s">
        <v>15</v>
      </c>
      <c r="G29" t="s">
        <v>25</v>
      </c>
      <c r="H29">
        <v>11</v>
      </c>
      <c r="I29">
        <v>68</v>
      </c>
      <c r="J29">
        <v>748</v>
      </c>
      <c r="K29">
        <v>78</v>
      </c>
    </row>
    <row r="30" spans="1:11" x14ac:dyDescent="0.25">
      <c r="A30" t="s">
        <v>70</v>
      </c>
      <c r="B30" s="1">
        <v>46086</v>
      </c>
      <c r="C30" t="s">
        <v>12</v>
      </c>
      <c r="D30" t="s">
        <v>13</v>
      </c>
      <c r="E30" t="s">
        <v>71</v>
      </c>
      <c r="F30" t="s">
        <v>47</v>
      </c>
      <c r="G30" t="s">
        <v>54</v>
      </c>
      <c r="H30">
        <v>6</v>
      </c>
      <c r="I30">
        <v>6653</v>
      </c>
      <c r="J30">
        <v>39918</v>
      </c>
      <c r="K30">
        <v>4367</v>
      </c>
    </row>
    <row r="31" spans="1:11" x14ac:dyDescent="0.25">
      <c r="A31" t="s">
        <v>72</v>
      </c>
      <c r="B31" s="1">
        <v>46089</v>
      </c>
      <c r="C31" t="s">
        <v>18</v>
      </c>
      <c r="D31" t="s">
        <v>19</v>
      </c>
      <c r="E31" t="s">
        <v>20</v>
      </c>
      <c r="F31" t="s">
        <v>42</v>
      </c>
      <c r="G31" t="s">
        <v>25</v>
      </c>
      <c r="H31">
        <v>9</v>
      </c>
      <c r="I31">
        <v>639</v>
      </c>
      <c r="J31">
        <v>5751</v>
      </c>
      <c r="K31">
        <v>553</v>
      </c>
    </row>
    <row r="32" spans="1:11" x14ac:dyDescent="0.25">
      <c r="A32" t="s">
        <v>73</v>
      </c>
      <c r="B32" s="1">
        <v>46089</v>
      </c>
      <c r="C32" t="s">
        <v>50</v>
      </c>
      <c r="D32" t="s">
        <v>19</v>
      </c>
      <c r="E32" t="s">
        <v>74</v>
      </c>
      <c r="F32" t="s">
        <v>42</v>
      </c>
      <c r="G32" t="s">
        <v>25</v>
      </c>
      <c r="H32">
        <v>8</v>
      </c>
      <c r="I32">
        <v>1851</v>
      </c>
      <c r="J32">
        <v>14808</v>
      </c>
      <c r="K32">
        <v>2169</v>
      </c>
    </row>
    <row r="33" spans="1:11" x14ac:dyDescent="0.25">
      <c r="A33" t="s">
        <v>75</v>
      </c>
      <c r="B33" s="1">
        <v>46090</v>
      </c>
      <c r="C33" t="s">
        <v>12</v>
      </c>
      <c r="D33" t="s">
        <v>13</v>
      </c>
      <c r="E33" t="s">
        <v>29</v>
      </c>
      <c r="F33" t="s">
        <v>36</v>
      </c>
      <c r="G33" t="s">
        <v>16</v>
      </c>
      <c r="H33">
        <v>5</v>
      </c>
      <c r="I33">
        <v>1771</v>
      </c>
      <c r="J33">
        <v>8855</v>
      </c>
      <c r="K33">
        <v>1404</v>
      </c>
    </row>
    <row r="34" spans="1:11" x14ac:dyDescent="0.25">
      <c r="A34" t="s">
        <v>76</v>
      </c>
      <c r="B34" s="1">
        <v>46090</v>
      </c>
      <c r="C34" t="s">
        <v>18</v>
      </c>
      <c r="D34" t="s">
        <v>31</v>
      </c>
      <c r="E34" t="s">
        <v>38</v>
      </c>
      <c r="F34" t="s">
        <v>77</v>
      </c>
      <c r="G34" t="s">
        <v>16</v>
      </c>
      <c r="H34">
        <v>5</v>
      </c>
      <c r="I34">
        <v>26246</v>
      </c>
      <c r="J34">
        <v>131230</v>
      </c>
      <c r="K34">
        <v>10558</v>
      </c>
    </row>
    <row r="35" spans="1:11" x14ac:dyDescent="0.25">
      <c r="A35" t="s">
        <v>78</v>
      </c>
      <c r="B35" s="1">
        <v>46090</v>
      </c>
      <c r="C35" t="s">
        <v>41</v>
      </c>
      <c r="D35" t="s">
        <v>31</v>
      </c>
      <c r="E35" t="s">
        <v>79</v>
      </c>
      <c r="F35" t="s">
        <v>36</v>
      </c>
      <c r="G35" t="s">
        <v>25</v>
      </c>
      <c r="H35">
        <v>10</v>
      </c>
      <c r="I35">
        <v>46552</v>
      </c>
      <c r="J35">
        <v>465520</v>
      </c>
      <c r="K35">
        <v>-56928</v>
      </c>
    </row>
    <row r="36" spans="1:11" x14ac:dyDescent="0.25">
      <c r="A36" t="s">
        <v>80</v>
      </c>
      <c r="B36" s="1">
        <v>46093</v>
      </c>
      <c r="C36" t="s">
        <v>12</v>
      </c>
      <c r="D36" t="s">
        <v>13</v>
      </c>
      <c r="E36" t="s">
        <v>71</v>
      </c>
      <c r="F36" t="s">
        <v>77</v>
      </c>
      <c r="G36" t="s">
        <v>54</v>
      </c>
      <c r="H36">
        <v>6</v>
      </c>
      <c r="I36">
        <v>10581</v>
      </c>
      <c r="J36">
        <v>63486</v>
      </c>
      <c r="K36">
        <v>11311</v>
      </c>
    </row>
    <row r="37" spans="1:11" x14ac:dyDescent="0.25">
      <c r="A37" t="s">
        <v>81</v>
      </c>
      <c r="B37" s="1">
        <v>46094</v>
      </c>
      <c r="C37" t="s">
        <v>12</v>
      </c>
      <c r="D37" t="s">
        <v>13</v>
      </c>
      <c r="E37" t="s">
        <v>14</v>
      </c>
      <c r="F37" t="s">
        <v>15</v>
      </c>
      <c r="G37" t="s">
        <v>16</v>
      </c>
      <c r="H37">
        <v>4</v>
      </c>
      <c r="I37">
        <v>18775</v>
      </c>
      <c r="J37">
        <v>75100</v>
      </c>
      <c r="K37">
        <v>10197</v>
      </c>
    </row>
    <row r="38" spans="1:11" x14ac:dyDescent="0.25">
      <c r="A38" t="s">
        <v>82</v>
      </c>
      <c r="B38" s="1">
        <v>46095</v>
      </c>
      <c r="C38" t="s">
        <v>18</v>
      </c>
      <c r="D38" t="s">
        <v>19</v>
      </c>
      <c r="E38" t="s">
        <v>46</v>
      </c>
      <c r="F38" t="s">
        <v>33</v>
      </c>
      <c r="G38" t="s">
        <v>54</v>
      </c>
      <c r="H38">
        <v>2</v>
      </c>
      <c r="I38">
        <v>204</v>
      </c>
      <c r="J38">
        <v>408</v>
      </c>
      <c r="K38">
        <v>42</v>
      </c>
    </row>
    <row r="39" spans="1:11" x14ac:dyDescent="0.25">
      <c r="A39" t="s">
        <v>83</v>
      </c>
      <c r="B39" s="1">
        <v>46099</v>
      </c>
      <c r="C39" t="s">
        <v>12</v>
      </c>
      <c r="D39" t="s">
        <v>19</v>
      </c>
      <c r="E39" t="s">
        <v>74</v>
      </c>
      <c r="F39" t="s">
        <v>21</v>
      </c>
      <c r="G39" t="s">
        <v>25</v>
      </c>
      <c r="H39">
        <v>6</v>
      </c>
      <c r="I39">
        <v>3752</v>
      </c>
      <c r="J39">
        <v>22512</v>
      </c>
      <c r="K39">
        <v>4474</v>
      </c>
    </row>
    <row r="40" spans="1:11" x14ac:dyDescent="0.25">
      <c r="A40" t="s">
        <v>84</v>
      </c>
      <c r="B40" s="1">
        <v>46100</v>
      </c>
      <c r="C40" t="s">
        <v>12</v>
      </c>
      <c r="D40" t="s">
        <v>19</v>
      </c>
      <c r="E40" t="s">
        <v>46</v>
      </c>
      <c r="F40" t="s">
        <v>39</v>
      </c>
      <c r="G40" t="s">
        <v>54</v>
      </c>
      <c r="H40">
        <v>5</v>
      </c>
      <c r="I40">
        <v>230</v>
      </c>
      <c r="J40">
        <v>1150</v>
      </c>
      <c r="K40">
        <v>179</v>
      </c>
    </row>
    <row r="41" spans="1:11" x14ac:dyDescent="0.25">
      <c r="A41" t="s">
        <v>85</v>
      </c>
      <c r="B41" s="1">
        <v>46100</v>
      </c>
      <c r="C41" t="s">
        <v>18</v>
      </c>
      <c r="D41" t="s">
        <v>31</v>
      </c>
      <c r="E41" t="s">
        <v>32</v>
      </c>
      <c r="F41" t="s">
        <v>36</v>
      </c>
      <c r="G41" t="s">
        <v>16</v>
      </c>
      <c r="H41">
        <v>10</v>
      </c>
      <c r="I41">
        <v>1239</v>
      </c>
      <c r="J41">
        <v>12390</v>
      </c>
      <c r="K41">
        <v>2398</v>
      </c>
    </row>
    <row r="42" spans="1:11" x14ac:dyDescent="0.25">
      <c r="A42" t="s">
        <v>86</v>
      </c>
      <c r="B42" s="1">
        <v>46101</v>
      </c>
      <c r="C42" t="s">
        <v>41</v>
      </c>
      <c r="D42" t="s">
        <v>13</v>
      </c>
      <c r="E42" t="s">
        <v>14</v>
      </c>
      <c r="F42" t="s">
        <v>42</v>
      </c>
      <c r="G42" t="s">
        <v>25</v>
      </c>
      <c r="H42">
        <v>9</v>
      </c>
      <c r="I42">
        <v>28839</v>
      </c>
      <c r="J42">
        <v>259551</v>
      </c>
      <c r="K42">
        <v>37252</v>
      </c>
    </row>
    <row r="43" spans="1:11" x14ac:dyDescent="0.25">
      <c r="A43" t="s">
        <v>87</v>
      </c>
      <c r="B43" s="1">
        <v>46103</v>
      </c>
      <c r="C43" t="s">
        <v>12</v>
      </c>
      <c r="D43" t="s">
        <v>31</v>
      </c>
      <c r="E43" t="s">
        <v>38</v>
      </c>
      <c r="F43" t="s">
        <v>42</v>
      </c>
      <c r="G43" t="s">
        <v>54</v>
      </c>
      <c r="H43">
        <v>2</v>
      </c>
      <c r="I43">
        <v>18913</v>
      </c>
      <c r="J43">
        <v>37826</v>
      </c>
      <c r="K43">
        <v>6030</v>
      </c>
    </row>
    <row r="44" spans="1:11" x14ac:dyDescent="0.25">
      <c r="A44" t="s">
        <v>88</v>
      </c>
      <c r="B44" s="1">
        <v>46103</v>
      </c>
      <c r="C44" t="s">
        <v>50</v>
      </c>
      <c r="D44" t="s">
        <v>23</v>
      </c>
      <c r="E44" t="s">
        <v>35</v>
      </c>
      <c r="F44" t="s">
        <v>15</v>
      </c>
      <c r="G44" t="s">
        <v>16</v>
      </c>
      <c r="H44">
        <v>1</v>
      </c>
      <c r="I44">
        <v>14489</v>
      </c>
      <c r="J44">
        <v>14489</v>
      </c>
      <c r="K44">
        <v>1283</v>
      </c>
    </row>
    <row r="45" spans="1:11" x14ac:dyDescent="0.25">
      <c r="A45" t="s">
        <v>89</v>
      </c>
      <c r="B45" s="1">
        <v>46106</v>
      </c>
      <c r="C45" t="s">
        <v>41</v>
      </c>
      <c r="D45" t="s">
        <v>13</v>
      </c>
      <c r="E45" t="s">
        <v>71</v>
      </c>
      <c r="F45" t="s">
        <v>36</v>
      </c>
      <c r="G45" t="s">
        <v>25</v>
      </c>
      <c r="H45">
        <v>10</v>
      </c>
      <c r="I45">
        <v>12209</v>
      </c>
      <c r="J45">
        <v>122090</v>
      </c>
      <c r="K45">
        <v>18216</v>
      </c>
    </row>
    <row r="46" spans="1:11" x14ac:dyDescent="0.25">
      <c r="A46" t="s">
        <v>90</v>
      </c>
      <c r="B46" s="1">
        <v>46108</v>
      </c>
      <c r="C46" t="s">
        <v>18</v>
      </c>
      <c r="D46" t="s">
        <v>19</v>
      </c>
      <c r="E46" t="s">
        <v>74</v>
      </c>
      <c r="F46" t="s">
        <v>33</v>
      </c>
      <c r="G46" t="s">
        <v>16</v>
      </c>
      <c r="H46">
        <v>3</v>
      </c>
      <c r="I46">
        <v>1925</v>
      </c>
      <c r="J46">
        <v>5775</v>
      </c>
      <c r="K46">
        <v>482</v>
      </c>
    </row>
    <row r="47" spans="1:11" x14ac:dyDescent="0.25">
      <c r="A47" t="s">
        <v>91</v>
      </c>
      <c r="B47" s="1">
        <v>46108</v>
      </c>
      <c r="C47" t="s">
        <v>12</v>
      </c>
      <c r="D47" t="s">
        <v>19</v>
      </c>
      <c r="E47" t="s">
        <v>74</v>
      </c>
      <c r="F47" t="s">
        <v>39</v>
      </c>
      <c r="G47" t="s">
        <v>54</v>
      </c>
      <c r="H47">
        <v>8</v>
      </c>
      <c r="I47">
        <v>1517</v>
      </c>
      <c r="J47">
        <v>12136</v>
      </c>
      <c r="K47">
        <v>1369</v>
      </c>
    </row>
    <row r="48" spans="1:11" x14ac:dyDescent="0.25">
      <c r="A48" t="s">
        <v>92</v>
      </c>
      <c r="B48" s="1">
        <v>46120</v>
      </c>
      <c r="C48" t="s">
        <v>41</v>
      </c>
      <c r="D48" t="s">
        <v>13</v>
      </c>
      <c r="E48" t="s">
        <v>14</v>
      </c>
      <c r="F48" t="s">
        <v>42</v>
      </c>
      <c r="G48" t="s">
        <v>25</v>
      </c>
      <c r="H48">
        <v>5</v>
      </c>
      <c r="I48">
        <v>36166</v>
      </c>
      <c r="J48">
        <v>180830</v>
      </c>
      <c r="K48">
        <v>25111</v>
      </c>
    </row>
    <row r="49" spans="1:11" x14ac:dyDescent="0.25">
      <c r="A49" t="s">
        <v>93</v>
      </c>
      <c r="B49" s="1">
        <v>46120</v>
      </c>
      <c r="C49" t="s">
        <v>12</v>
      </c>
      <c r="D49" t="s">
        <v>31</v>
      </c>
      <c r="E49" t="s">
        <v>38</v>
      </c>
      <c r="F49" t="s">
        <v>42</v>
      </c>
      <c r="G49" t="s">
        <v>54</v>
      </c>
      <c r="H49">
        <v>4</v>
      </c>
      <c r="I49">
        <v>26899</v>
      </c>
      <c r="J49">
        <v>107596</v>
      </c>
      <c r="K49">
        <v>20074</v>
      </c>
    </row>
    <row r="50" spans="1:11" x14ac:dyDescent="0.25">
      <c r="A50" t="s">
        <v>94</v>
      </c>
      <c r="B50" s="1">
        <v>46125</v>
      </c>
      <c r="C50" t="s">
        <v>50</v>
      </c>
      <c r="D50" t="s">
        <v>31</v>
      </c>
      <c r="E50" t="s">
        <v>79</v>
      </c>
      <c r="F50" t="s">
        <v>47</v>
      </c>
      <c r="G50" t="s">
        <v>16</v>
      </c>
      <c r="H50">
        <v>4</v>
      </c>
      <c r="I50">
        <v>50899</v>
      </c>
      <c r="J50">
        <v>203596</v>
      </c>
      <c r="K50">
        <v>30008</v>
      </c>
    </row>
    <row r="51" spans="1:11" x14ac:dyDescent="0.25">
      <c r="A51" t="s">
        <v>95</v>
      </c>
      <c r="B51" s="1">
        <v>46126</v>
      </c>
      <c r="C51" t="s">
        <v>12</v>
      </c>
      <c r="D51" t="s">
        <v>13</v>
      </c>
      <c r="E51" t="s">
        <v>71</v>
      </c>
      <c r="F51" t="s">
        <v>15</v>
      </c>
      <c r="G51" t="s">
        <v>54</v>
      </c>
      <c r="H51">
        <v>8</v>
      </c>
      <c r="I51">
        <v>6475</v>
      </c>
      <c r="J51">
        <v>51800</v>
      </c>
      <c r="K51">
        <v>8995</v>
      </c>
    </row>
    <row r="52" spans="1:11" x14ac:dyDescent="0.25">
      <c r="A52" t="s">
        <v>96</v>
      </c>
      <c r="B52" s="1">
        <v>46129</v>
      </c>
      <c r="C52" t="s">
        <v>41</v>
      </c>
      <c r="D52" t="s">
        <v>31</v>
      </c>
      <c r="E52" t="s">
        <v>65</v>
      </c>
      <c r="F52" t="s">
        <v>33</v>
      </c>
      <c r="G52" t="s">
        <v>16</v>
      </c>
      <c r="H52">
        <v>7</v>
      </c>
      <c r="I52">
        <v>55478</v>
      </c>
      <c r="J52">
        <v>388346</v>
      </c>
      <c r="K52">
        <v>42700</v>
      </c>
    </row>
    <row r="53" spans="1:11" x14ac:dyDescent="0.25">
      <c r="A53" t="s">
        <v>97</v>
      </c>
      <c r="B53" s="1">
        <v>46130</v>
      </c>
      <c r="C53" t="s">
        <v>18</v>
      </c>
      <c r="D53" t="s">
        <v>13</v>
      </c>
      <c r="E53" t="s">
        <v>29</v>
      </c>
      <c r="F53" t="s">
        <v>47</v>
      </c>
      <c r="G53" t="s">
        <v>54</v>
      </c>
      <c r="H53">
        <v>5</v>
      </c>
      <c r="I53">
        <v>2797</v>
      </c>
      <c r="J53">
        <v>13985</v>
      </c>
      <c r="K53">
        <v>2986</v>
      </c>
    </row>
    <row r="54" spans="1:11" x14ac:dyDescent="0.25">
      <c r="A54" t="s">
        <v>98</v>
      </c>
      <c r="B54" s="1">
        <v>46133</v>
      </c>
      <c r="C54" t="s">
        <v>50</v>
      </c>
      <c r="D54" t="s">
        <v>23</v>
      </c>
      <c r="E54" t="s">
        <v>35</v>
      </c>
      <c r="F54" t="s">
        <v>36</v>
      </c>
      <c r="G54" t="s">
        <v>16</v>
      </c>
      <c r="H54">
        <v>8</v>
      </c>
      <c r="I54">
        <v>11669</v>
      </c>
      <c r="J54">
        <v>93352</v>
      </c>
      <c r="K54">
        <v>8735</v>
      </c>
    </row>
    <row r="55" spans="1:11" x14ac:dyDescent="0.25">
      <c r="A55" t="s">
        <v>99</v>
      </c>
      <c r="B55" s="1">
        <v>46135</v>
      </c>
      <c r="C55" t="s">
        <v>41</v>
      </c>
      <c r="D55" t="s">
        <v>13</v>
      </c>
      <c r="E55" t="s">
        <v>71</v>
      </c>
      <c r="F55" t="s">
        <v>39</v>
      </c>
      <c r="G55" t="s">
        <v>25</v>
      </c>
      <c r="H55">
        <v>5</v>
      </c>
      <c r="I55">
        <v>12537</v>
      </c>
      <c r="J55">
        <v>62685</v>
      </c>
      <c r="K55">
        <v>10718</v>
      </c>
    </row>
    <row r="56" spans="1:11" x14ac:dyDescent="0.25">
      <c r="A56" t="s">
        <v>100</v>
      </c>
      <c r="B56" s="1">
        <v>46136</v>
      </c>
      <c r="C56" t="s">
        <v>50</v>
      </c>
      <c r="D56" t="s">
        <v>19</v>
      </c>
      <c r="E56" t="s">
        <v>46</v>
      </c>
      <c r="F56" t="s">
        <v>47</v>
      </c>
      <c r="G56" t="s">
        <v>54</v>
      </c>
      <c r="H56">
        <v>3</v>
      </c>
      <c r="I56">
        <v>476</v>
      </c>
      <c r="J56">
        <v>1428</v>
      </c>
      <c r="K56">
        <v>147</v>
      </c>
    </row>
    <row r="57" spans="1:11" x14ac:dyDescent="0.25">
      <c r="A57" t="s">
        <v>101</v>
      </c>
      <c r="B57" s="1">
        <v>46136</v>
      </c>
      <c r="C57" t="s">
        <v>18</v>
      </c>
      <c r="D57" t="s">
        <v>23</v>
      </c>
      <c r="E57" t="s">
        <v>24</v>
      </c>
      <c r="F57" t="s">
        <v>42</v>
      </c>
      <c r="G57" t="s">
        <v>25</v>
      </c>
      <c r="H57">
        <v>10</v>
      </c>
      <c r="I57">
        <v>6697</v>
      </c>
      <c r="J57">
        <v>66970</v>
      </c>
      <c r="K57">
        <v>8924</v>
      </c>
    </row>
    <row r="58" spans="1:11" x14ac:dyDescent="0.25">
      <c r="A58" t="s">
        <v>102</v>
      </c>
      <c r="B58" s="1">
        <v>46140</v>
      </c>
      <c r="C58" t="s">
        <v>41</v>
      </c>
      <c r="D58" t="s">
        <v>31</v>
      </c>
      <c r="E58" t="s">
        <v>79</v>
      </c>
      <c r="F58" t="s">
        <v>42</v>
      </c>
      <c r="G58" t="s">
        <v>16</v>
      </c>
      <c r="H58">
        <v>6</v>
      </c>
      <c r="I58">
        <v>62541</v>
      </c>
      <c r="J58">
        <v>375246</v>
      </c>
      <c r="K58">
        <v>72422</v>
      </c>
    </row>
    <row r="59" spans="1:11" x14ac:dyDescent="0.25">
      <c r="A59" t="s">
        <v>103</v>
      </c>
      <c r="B59" s="1">
        <v>46140</v>
      </c>
      <c r="C59" t="s">
        <v>41</v>
      </c>
      <c r="D59" t="s">
        <v>19</v>
      </c>
      <c r="E59" t="s">
        <v>44</v>
      </c>
      <c r="F59" t="s">
        <v>77</v>
      </c>
      <c r="G59" t="s">
        <v>16</v>
      </c>
      <c r="H59">
        <v>5</v>
      </c>
      <c r="I59">
        <v>151</v>
      </c>
      <c r="J59">
        <v>755</v>
      </c>
      <c r="K59">
        <v>129</v>
      </c>
    </row>
    <row r="60" spans="1:11" x14ac:dyDescent="0.25">
      <c r="A60" t="s">
        <v>104</v>
      </c>
      <c r="B60" s="1">
        <v>46141</v>
      </c>
      <c r="C60" t="s">
        <v>12</v>
      </c>
      <c r="D60" t="s">
        <v>13</v>
      </c>
      <c r="E60" t="s">
        <v>71</v>
      </c>
      <c r="F60" t="s">
        <v>47</v>
      </c>
      <c r="G60" t="s">
        <v>54</v>
      </c>
      <c r="H60">
        <v>10</v>
      </c>
      <c r="I60">
        <v>6444</v>
      </c>
      <c r="J60">
        <v>64440</v>
      </c>
      <c r="K60">
        <v>9022</v>
      </c>
    </row>
    <row r="61" spans="1:11" x14ac:dyDescent="0.25">
      <c r="A61" t="s">
        <v>105</v>
      </c>
      <c r="B61" s="1">
        <v>46144</v>
      </c>
      <c r="C61" t="s">
        <v>18</v>
      </c>
      <c r="D61" t="s">
        <v>23</v>
      </c>
      <c r="E61" t="s">
        <v>24</v>
      </c>
      <c r="F61" t="s">
        <v>39</v>
      </c>
      <c r="G61" t="s">
        <v>25</v>
      </c>
      <c r="H61">
        <v>7</v>
      </c>
      <c r="I61">
        <v>11004</v>
      </c>
      <c r="J61">
        <v>77028</v>
      </c>
      <c r="K61">
        <v>8754</v>
      </c>
    </row>
    <row r="62" spans="1:11" x14ac:dyDescent="0.25">
      <c r="A62" t="s">
        <v>106</v>
      </c>
      <c r="B62" s="1">
        <v>46145</v>
      </c>
      <c r="C62" t="s">
        <v>18</v>
      </c>
      <c r="D62" t="s">
        <v>19</v>
      </c>
      <c r="E62" t="s">
        <v>74</v>
      </c>
      <c r="F62" t="s">
        <v>36</v>
      </c>
      <c r="G62" t="s">
        <v>54</v>
      </c>
      <c r="H62">
        <v>6</v>
      </c>
      <c r="I62">
        <v>1955</v>
      </c>
      <c r="J62">
        <v>11730</v>
      </c>
      <c r="K62">
        <v>1353</v>
      </c>
    </row>
    <row r="63" spans="1:11" x14ac:dyDescent="0.25">
      <c r="A63" t="s">
        <v>107</v>
      </c>
      <c r="B63" s="1">
        <v>46148</v>
      </c>
      <c r="C63" t="s">
        <v>41</v>
      </c>
      <c r="D63" t="s">
        <v>13</v>
      </c>
      <c r="E63" t="s">
        <v>14</v>
      </c>
      <c r="F63" t="s">
        <v>21</v>
      </c>
      <c r="G63" t="s">
        <v>25</v>
      </c>
      <c r="H63">
        <v>11</v>
      </c>
      <c r="I63">
        <v>29181</v>
      </c>
      <c r="J63">
        <v>320991</v>
      </c>
      <c r="K63">
        <v>-30620</v>
      </c>
    </row>
    <row r="64" spans="1:11" x14ac:dyDescent="0.25">
      <c r="A64" t="s">
        <v>108</v>
      </c>
      <c r="B64" s="1">
        <v>46158</v>
      </c>
      <c r="C64" t="s">
        <v>12</v>
      </c>
      <c r="D64" t="s">
        <v>31</v>
      </c>
      <c r="E64" t="s">
        <v>38</v>
      </c>
      <c r="F64" t="s">
        <v>39</v>
      </c>
      <c r="G64" t="s">
        <v>16</v>
      </c>
      <c r="H64">
        <v>6</v>
      </c>
      <c r="I64">
        <v>17293</v>
      </c>
      <c r="J64">
        <v>103758</v>
      </c>
      <c r="K64">
        <v>19611</v>
      </c>
    </row>
    <row r="65" spans="1:11" x14ac:dyDescent="0.25">
      <c r="A65" t="s">
        <v>109</v>
      </c>
      <c r="B65" s="1">
        <v>46160</v>
      </c>
      <c r="C65" t="s">
        <v>18</v>
      </c>
      <c r="D65" t="s">
        <v>13</v>
      </c>
      <c r="E65" t="s">
        <v>71</v>
      </c>
      <c r="F65" t="s">
        <v>15</v>
      </c>
      <c r="G65" t="s">
        <v>16</v>
      </c>
      <c r="H65">
        <v>12</v>
      </c>
      <c r="I65">
        <v>13144</v>
      </c>
      <c r="J65">
        <v>157728</v>
      </c>
      <c r="K65">
        <v>-4681</v>
      </c>
    </row>
    <row r="66" spans="1:11" x14ac:dyDescent="0.25">
      <c r="A66" t="s">
        <v>110</v>
      </c>
      <c r="B66" s="1">
        <v>46164</v>
      </c>
      <c r="C66" t="s">
        <v>12</v>
      </c>
      <c r="D66" t="s">
        <v>23</v>
      </c>
      <c r="E66" t="s">
        <v>53</v>
      </c>
      <c r="F66" t="s">
        <v>21</v>
      </c>
      <c r="G66" t="s">
        <v>54</v>
      </c>
      <c r="H66">
        <v>7</v>
      </c>
      <c r="I66">
        <v>34526</v>
      </c>
      <c r="J66">
        <v>241682</v>
      </c>
      <c r="K66">
        <v>37237</v>
      </c>
    </row>
    <row r="67" spans="1:11" x14ac:dyDescent="0.25">
      <c r="A67" t="s">
        <v>111</v>
      </c>
      <c r="B67" s="1">
        <v>46164</v>
      </c>
      <c r="C67" t="s">
        <v>50</v>
      </c>
      <c r="D67" t="s">
        <v>31</v>
      </c>
      <c r="E67" t="s">
        <v>79</v>
      </c>
      <c r="F67" t="s">
        <v>21</v>
      </c>
      <c r="G67" t="s">
        <v>25</v>
      </c>
      <c r="H67">
        <v>3</v>
      </c>
      <c r="I67">
        <v>75755</v>
      </c>
      <c r="J67">
        <v>227265</v>
      </c>
      <c r="K67">
        <v>-23181</v>
      </c>
    </row>
    <row r="68" spans="1:11" x14ac:dyDescent="0.25">
      <c r="A68" t="s">
        <v>112</v>
      </c>
      <c r="B68" s="1">
        <v>46168</v>
      </c>
      <c r="C68" t="s">
        <v>18</v>
      </c>
      <c r="D68" t="s">
        <v>19</v>
      </c>
      <c r="E68" t="s">
        <v>74</v>
      </c>
      <c r="F68" t="s">
        <v>47</v>
      </c>
      <c r="G68" t="s">
        <v>16</v>
      </c>
      <c r="H68">
        <v>6</v>
      </c>
      <c r="I68">
        <v>2459</v>
      </c>
      <c r="J68">
        <v>14754</v>
      </c>
      <c r="K68">
        <v>1678</v>
      </c>
    </row>
    <row r="69" spans="1:11" x14ac:dyDescent="0.25">
      <c r="A69" t="s">
        <v>113</v>
      </c>
      <c r="B69" s="1">
        <v>46171</v>
      </c>
      <c r="C69" t="s">
        <v>50</v>
      </c>
      <c r="D69" t="s">
        <v>13</v>
      </c>
      <c r="E69" t="s">
        <v>27</v>
      </c>
      <c r="F69" t="s">
        <v>21</v>
      </c>
      <c r="G69" t="s">
        <v>54</v>
      </c>
      <c r="H69">
        <v>4</v>
      </c>
      <c r="I69">
        <v>38251</v>
      </c>
      <c r="J69">
        <v>153004</v>
      </c>
      <c r="K69">
        <v>18799</v>
      </c>
    </row>
    <row r="70" spans="1:11" x14ac:dyDescent="0.25">
      <c r="A70" t="s">
        <v>114</v>
      </c>
      <c r="B70" s="1">
        <v>46172</v>
      </c>
      <c r="C70" t="s">
        <v>12</v>
      </c>
      <c r="D70" t="s">
        <v>13</v>
      </c>
      <c r="E70" t="s">
        <v>27</v>
      </c>
      <c r="F70" t="s">
        <v>39</v>
      </c>
      <c r="G70" t="s">
        <v>25</v>
      </c>
      <c r="H70">
        <v>10</v>
      </c>
      <c r="I70">
        <v>26302</v>
      </c>
      <c r="J70">
        <v>263020</v>
      </c>
      <c r="K70">
        <v>36479</v>
      </c>
    </row>
    <row r="71" spans="1:11" x14ac:dyDescent="0.25">
      <c r="A71" t="s">
        <v>115</v>
      </c>
      <c r="B71" s="1">
        <v>46178</v>
      </c>
      <c r="C71" t="s">
        <v>12</v>
      </c>
      <c r="D71" t="s">
        <v>19</v>
      </c>
      <c r="E71" t="s">
        <v>46</v>
      </c>
      <c r="F71" t="s">
        <v>21</v>
      </c>
      <c r="G71" t="s">
        <v>25</v>
      </c>
      <c r="H71">
        <v>7</v>
      </c>
      <c r="I71">
        <v>326</v>
      </c>
      <c r="J71">
        <v>2282</v>
      </c>
      <c r="K71">
        <v>283</v>
      </c>
    </row>
    <row r="72" spans="1:11" x14ac:dyDescent="0.25">
      <c r="A72" t="s">
        <v>116</v>
      </c>
      <c r="B72" s="1">
        <v>46189</v>
      </c>
      <c r="C72" t="s">
        <v>50</v>
      </c>
      <c r="D72" t="s">
        <v>31</v>
      </c>
      <c r="E72" t="s">
        <v>79</v>
      </c>
      <c r="F72" t="s">
        <v>21</v>
      </c>
      <c r="G72" t="s">
        <v>16</v>
      </c>
      <c r="H72">
        <v>4</v>
      </c>
      <c r="I72">
        <v>73118</v>
      </c>
      <c r="J72">
        <v>292472</v>
      </c>
      <c r="K72">
        <v>46379</v>
      </c>
    </row>
    <row r="73" spans="1:11" x14ac:dyDescent="0.25">
      <c r="A73" t="s">
        <v>117</v>
      </c>
      <c r="B73" s="1">
        <v>46189</v>
      </c>
      <c r="C73" t="s">
        <v>18</v>
      </c>
      <c r="D73" t="s">
        <v>13</v>
      </c>
      <c r="E73" t="s">
        <v>14</v>
      </c>
      <c r="F73" t="s">
        <v>36</v>
      </c>
      <c r="G73" t="s">
        <v>25</v>
      </c>
      <c r="H73">
        <v>3</v>
      </c>
      <c r="I73">
        <v>32270</v>
      </c>
      <c r="J73">
        <v>96810</v>
      </c>
      <c r="K73">
        <v>14816</v>
      </c>
    </row>
    <row r="74" spans="1:11" x14ac:dyDescent="0.25">
      <c r="A74" t="s">
        <v>118</v>
      </c>
      <c r="B74" s="1">
        <v>46190</v>
      </c>
      <c r="C74" t="s">
        <v>12</v>
      </c>
      <c r="D74" t="s">
        <v>19</v>
      </c>
      <c r="E74" t="s">
        <v>74</v>
      </c>
      <c r="F74" t="s">
        <v>47</v>
      </c>
      <c r="G74" t="s">
        <v>54</v>
      </c>
      <c r="H74">
        <v>5</v>
      </c>
      <c r="I74">
        <v>2060</v>
      </c>
      <c r="J74">
        <v>10300</v>
      </c>
      <c r="K74">
        <v>1660</v>
      </c>
    </row>
    <row r="75" spans="1:11" x14ac:dyDescent="0.25">
      <c r="A75" t="s">
        <v>119</v>
      </c>
      <c r="B75" s="1">
        <v>46194</v>
      </c>
      <c r="C75" t="s">
        <v>18</v>
      </c>
      <c r="D75" t="s">
        <v>31</v>
      </c>
      <c r="E75" t="s">
        <v>79</v>
      </c>
      <c r="F75" t="s">
        <v>39</v>
      </c>
      <c r="G75" t="s">
        <v>16</v>
      </c>
      <c r="H75">
        <v>1</v>
      </c>
      <c r="I75">
        <v>61654</v>
      </c>
      <c r="J75">
        <v>61654</v>
      </c>
      <c r="K75">
        <v>-7340</v>
      </c>
    </row>
    <row r="76" spans="1:11" x14ac:dyDescent="0.25">
      <c r="A76" t="s">
        <v>120</v>
      </c>
      <c r="B76" s="1">
        <v>46194</v>
      </c>
      <c r="C76" t="s">
        <v>18</v>
      </c>
      <c r="D76" t="s">
        <v>31</v>
      </c>
      <c r="E76" t="s">
        <v>79</v>
      </c>
      <c r="F76" t="s">
        <v>39</v>
      </c>
      <c r="G76" t="s">
        <v>16</v>
      </c>
      <c r="H76">
        <v>1</v>
      </c>
      <c r="I76">
        <v>80719</v>
      </c>
      <c r="J76">
        <v>80719</v>
      </c>
      <c r="K76">
        <v>7884</v>
      </c>
    </row>
    <row r="77" spans="1:11" x14ac:dyDescent="0.25">
      <c r="A77" t="s">
        <v>121</v>
      </c>
      <c r="B77" s="1">
        <v>46198</v>
      </c>
      <c r="C77" t="s">
        <v>50</v>
      </c>
      <c r="D77" t="s">
        <v>19</v>
      </c>
      <c r="E77" t="s">
        <v>46</v>
      </c>
      <c r="F77" t="s">
        <v>39</v>
      </c>
      <c r="G77" t="s">
        <v>54</v>
      </c>
      <c r="H77">
        <v>12</v>
      </c>
      <c r="I77">
        <v>294</v>
      </c>
      <c r="J77">
        <v>3528</v>
      </c>
      <c r="K77">
        <v>506</v>
      </c>
    </row>
    <row r="78" spans="1:11" x14ac:dyDescent="0.25">
      <c r="A78" t="s">
        <v>122</v>
      </c>
      <c r="B78" s="1">
        <v>46199</v>
      </c>
      <c r="C78" t="s">
        <v>41</v>
      </c>
      <c r="D78" t="s">
        <v>31</v>
      </c>
      <c r="E78" t="s">
        <v>65</v>
      </c>
      <c r="F78" t="s">
        <v>39</v>
      </c>
      <c r="G78" t="s">
        <v>16</v>
      </c>
      <c r="H78">
        <v>9</v>
      </c>
      <c r="I78">
        <v>14919</v>
      </c>
      <c r="J78">
        <v>134271</v>
      </c>
      <c r="K78">
        <v>18421</v>
      </c>
    </row>
    <row r="79" spans="1:11" x14ac:dyDescent="0.25">
      <c r="A79" t="s">
        <v>123</v>
      </c>
      <c r="B79" s="1">
        <v>46201</v>
      </c>
      <c r="C79" t="s">
        <v>18</v>
      </c>
      <c r="D79" t="s">
        <v>23</v>
      </c>
      <c r="E79" t="s">
        <v>53</v>
      </c>
      <c r="F79" t="s">
        <v>47</v>
      </c>
      <c r="G79" t="s">
        <v>54</v>
      </c>
      <c r="H79">
        <v>5</v>
      </c>
      <c r="I79">
        <v>40692</v>
      </c>
      <c r="J79">
        <v>203460</v>
      </c>
      <c r="K79">
        <v>24402</v>
      </c>
    </row>
    <row r="80" spans="1:11" x14ac:dyDescent="0.25">
      <c r="A80" t="s">
        <v>124</v>
      </c>
      <c r="B80" s="1">
        <v>46201</v>
      </c>
      <c r="C80" t="s">
        <v>18</v>
      </c>
      <c r="D80" t="s">
        <v>23</v>
      </c>
      <c r="E80" t="s">
        <v>53</v>
      </c>
      <c r="F80" t="s">
        <v>21</v>
      </c>
      <c r="G80" t="s">
        <v>54</v>
      </c>
      <c r="H80">
        <v>7</v>
      </c>
      <c r="I80">
        <v>44036</v>
      </c>
      <c r="J80">
        <v>308252</v>
      </c>
      <c r="K80">
        <v>33051</v>
      </c>
    </row>
    <row r="81" spans="1:11" x14ac:dyDescent="0.25">
      <c r="A81" t="s">
        <v>125</v>
      </c>
      <c r="B81" s="1">
        <v>46201</v>
      </c>
      <c r="C81" t="s">
        <v>50</v>
      </c>
      <c r="D81" t="s">
        <v>19</v>
      </c>
      <c r="E81" t="s">
        <v>74</v>
      </c>
      <c r="F81" t="s">
        <v>42</v>
      </c>
      <c r="G81" t="s">
        <v>16</v>
      </c>
      <c r="H81">
        <v>4</v>
      </c>
      <c r="I81">
        <v>2920</v>
      </c>
      <c r="J81">
        <v>11680</v>
      </c>
      <c r="K81">
        <v>2193</v>
      </c>
    </row>
  </sheetData>
  <conditionalFormatting sqref="J1:J1048576">
    <cfRule type="dataBar" priority="10">
      <dataBar>
        <cfvo type="min"/>
        <cfvo type="max"/>
        <color rgb="FF63C384"/>
      </dataBar>
      <extLst>
        <ext xmlns:x14="http://schemas.microsoft.com/office/spreadsheetml/2009/9/main" uri="{B025F937-C7B1-47D3-B67F-A62EFF666E3E}">
          <x14:id>{3016E8FF-8589-4EBD-9C04-B5BEC65550E5}</x14:id>
        </ext>
      </extLst>
    </cfRule>
  </conditionalFormatting>
  <conditionalFormatting sqref="K1:K81">
    <cfRule type="cellIs" dxfId="2" priority="3" operator="lessThan">
      <formula>8000</formula>
    </cfRule>
    <cfRule type="top10" dxfId="1" priority="2" rank="10"/>
  </conditionalFormatting>
  <conditionalFormatting sqref="A1:K81">
    <cfRule type="expression" dxfId="0" priority="1">
      <formula>AND($G2="Wholesale",$J2&gt;50000)</formula>
    </cfRule>
  </conditionalFormatting>
  <pageMargins left="0.75" right="0.75" top="1" bottom="1" header="0.5" footer="0.5"/>
  <pageSetup orientation="portrait" horizontalDpi="300" verticalDpi="300" r:id="rId1"/>
  <extLst>
    <ext xmlns:x14="http://schemas.microsoft.com/office/spreadsheetml/2009/9/main" uri="{78C0D931-6437-407d-A8EE-F0AAD7539E65}">
      <x14:conditionalFormattings>
        <x14:conditionalFormatting xmlns:xm="http://schemas.microsoft.com/office/excel/2006/main">
          <x14:cfRule type="dataBar" id="{3016E8FF-8589-4EBD-9C04-B5BEC65550E5}">
            <x14:dataBar minLength="0" maxLength="100" border="1" negativeBarBorderColorSameAsPositive="0">
              <x14:cfvo type="autoMin"/>
              <x14:cfvo type="autoMax"/>
              <x14:borderColor rgb="FF63C384"/>
              <x14:negativeFillColor rgb="FFFF0000"/>
              <x14:negativeBorderColor rgb="FFFF0000"/>
              <x14:axisColor rgb="FF000000"/>
            </x14:dataBar>
          </x14:cfRule>
          <xm:sqref>J1:J1048576</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Region Summary</vt:lpstr>
      <vt:lpstr>Sheet5</vt:lpstr>
      <vt:lpstr>Sheet6</vt:lpstr>
      <vt:lpstr>Sheet7</vt:lpstr>
      <vt:lpstr>Sheet8</vt:lpstr>
      <vt:lpstr>Sales 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pc</cp:lastModifiedBy>
  <dcterms:created xsi:type="dcterms:W3CDTF">2026-07-08T11:28:03Z</dcterms:created>
  <dcterms:modified xsi:type="dcterms:W3CDTF">2026-07-10T00:36:24Z</dcterms:modified>
</cp:coreProperties>
</file>