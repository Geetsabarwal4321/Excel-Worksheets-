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60" windowWidth="14355" windowHeight="8010" activeTab="2"/>
  </bookViews>
  <sheets>
    <sheet name="Sheet1" sheetId="1" r:id="rId1"/>
    <sheet name=" Sheet2" sheetId="4" r:id="rId2"/>
    <sheet name="Sheet3" sheetId="5" r:id="rId3"/>
    <sheet name="Sheet4" sheetId="2" r:id="rId4"/>
    <sheet name="Sheet5" sheetId="3" r:id="rId5"/>
    <sheet name="Sheet6" sheetId="6" r:id="rId6"/>
  </sheet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<sst xmlns="http://schemas.openxmlformats.org/spreadsheetml/2006/main" count="139" uniqueCount="76">
  <si>
    <t>Name</t>
  </si>
  <si>
    <t>garima</t>
  </si>
  <si>
    <t>muskan</t>
  </si>
  <si>
    <t>karan</t>
  </si>
  <si>
    <t>angel</t>
  </si>
  <si>
    <t>diya</t>
  </si>
  <si>
    <t>kritika</t>
  </si>
  <si>
    <t>S.no</t>
  </si>
  <si>
    <t>Jan</t>
  </si>
  <si>
    <t>Feb</t>
  </si>
  <si>
    <t>March</t>
  </si>
  <si>
    <t>May</t>
  </si>
  <si>
    <t>Total</t>
  </si>
  <si>
    <t>Garima</t>
  </si>
  <si>
    <t>Vinita</t>
  </si>
  <si>
    <t>Muskan</t>
  </si>
  <si>
    <t>Yogita</t>
  </si>
  <si>
    <t>Angel</t>
  </si>
  <si>
    <t>Diya</t>
  </si>
  <si>
    <t>Siya</t>
  </si>
  <si>
    <t>Kritika</t>
  </si>
  <si>
    <t>Sakshi</t>
  </si>
  <si>
    <t>ID no</t>
  </si>
  <si>
    <t>2u49</t>
  </si>
  <si>
    <t>4h89</t>
  </si>
  <si>
    <t>73g0</t>
  </si>
  <si>
    <t>729k</t>
  </si>
  <si>
    <t>56r</t>
  </si>
  <si>
    <t>816b</t>
  </si>
  <si>
    <t>903k</t>
  </si>
  <si>
    <t>951v</t>
  </si>
  <si>
    <t>73jn5</t>
  </si>
  <si>
    <t>914g7</t>
  </si>
  <si>
    <t>Salary</t>
  </si>
  <si>
    <t>(All)</t>
  </si>
  <si>
    <t>Row Labels</t>
  </si>
  <si>
    <t>Grand Total</t>
  </si>
  <si>
    <t>Column Labels</t>
  </si>
  <si>
    <t>Sum of Salary</t>
  </si>
  <si>
    <t>g111</t>
  </si>
  <si>
    <t>h111</t>
  </si>
  <si>
    <t>k111</t>
  </si>
  <si>
    <t>l111</t>
  </si>
  <si>
    <t>v111</t>
  </si>
  <si>
    <t>n111</t>
  </si>
  <si>
    <t>y111</t>
  </si>
  <si>
    <t>t111</t>
  </si>
  <si>
    <t>d111</t>
  </si>
  <si>
    <t xml:space="preserve"> </t>
  </si>
  <si>
    <t>Roll No</t>
  </si>
  <si>
    <t>Marks</t>
  </si>
  <si>
    <t>Rahul</t>
  </si>
  <si>
    <t>Priya</t>
  </si>
  <si>
    <t>Emp ID</t>
  </si>
  <si>
    <t>Amit</t>
  </si>
  <si>
    <t>Neha</t>
  </si>
  <si>
    <t>Month</t>
  </si>
  <si>
    <t>Sales</t>
  </si>
  <si>
    <t>Attendance</t>
  </si>
  <si>
    <t>Ravi</t>
  </si>
  <si>
    <t>Simran</t>
  </si>
  <si>
    <t>Product</t>
  </si>
  <si>
    <t>Stock</t>
  </si>
  <si>
    <t>Pen</t>
  </si>
  <si>
    <t>Book</t>
  </si>
  <si>
    <t>Aman</t>
  </si>
  <si>
    <t>Student</t>
  </si>
  <si>
    <t>Names</t>
  </si>
  <si>
    <t>RAhul</t>
  </si>
  <si>
    <t>Employee</t>
  </si>
  <si>
    <t>Ajay</t>
  </si>
  <si>
    <t>Expiry Date</t>
  </si>
  <si>
    <t>Milk</t>
  </si>
  <si>
    <t>Bread</t>
  </si>
  <si>
    <t>20-04-2026</t>
  </si>
  <si>
    <t>25-04-2026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</si>
</sst>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,##0.00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4" borderId="1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4" xfId="0" applyFont="1" applyFill="1" applyBorder="1"/>
    <xf numFmtId="0" fontId="0" fillId="4" borderId="5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1" fillId="2" borderId="2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0" fillId="7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0" fontId="0" fillId="0" borderId="8" xfId="2" applyNumberFormat="1" applyFont="1" applyBorder="1" applyAlignment="1">
      <alignment horizontal="left"/>
    </xf>
    <xf numFmtId="0" fontId="3" fillId="5" borderId="7" xfId="1" applyNumberFormat="1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Border="1"/>
    <xf numFmtId="9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  <xf numFmtId="165" fontId="0" fillId="0" borderId="8" xfId="0" applyNumberFormat="1" applyBorder="1"/>
    <xf numFmtId="0" fontId="0" fillId="0" borderId="7" xfId="0" applyFont="1" applyFill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9" fontId="0" fillId="0" borderId="0" xfId="0" applyNumberForma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Trellis">
          <bgColor rgb="FFC00000"/>
        </patternFill>
      </fill>
    </dxf>
    <dxf>
      <fill>
        <patternFill patternType="lightTrellis"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pivotSource>
    <c:name>[Excel 1.xlsx]Sheet3!PivotTable1</c:name>
    <c:fmtId val="0"/>
  </c:pivotSource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2u49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Sheet3!$B$5:$B$14</c:f>
              <c:numCache>
                <c:formatCode>General</c:formatCode>
                <c:ptCount val="9"/>
                <c:pt idx="2">
                  <c:v>12000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4h89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Sheet3!$C$5:$C$14</c:f>
              <c:numCache>
                <c:formatCode>General</c:formatCode>
                <c:ptCount val="9"/>
                <c:pt idx="7">
                  <c:v>47000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56r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Sheet3!$D$5:$D$14</c:f>
              <c:numCache>
                <c:formatCode>General</c:formatCode>
                <c:ptCount val="9"/>
                <c:pt idx="0">
                  <c:v>5600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729k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Sheet3!$E$5:$E$14</c:f>
              <c:numCache>
                <c:formatCode>General</c:formatCode>
                <c:ptCount val="9"/>
                <c:pt idx="8">
                  <c:v>12000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73g0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Sheet3!$F$5:$F$14</c:f>
              <c:numCache>
                <c:formatCode>General</c:formatCode>
                <c:ptCount val="9"/>
                <c:pt idx="4">
                  <c:v>53000</c:v>
                </c:pt>
              </c:numCache>
            </c:numRef>
          </c:val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73jn5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Sheet3!$G$5:$G$14</c:f>
              <c:numCache>
                <c:formatCode>General</c:formatCode>
                <c:ptCount val="9"/>
                <c:pt idx="1">
                  <c:v>18000</c:v>
                </c:pt>
              </c:numCache>
            </c:numRef>
          </c:val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816b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Sheet3!$H$5:$H$14</c:f>
              <c:numCache>
                <c:formatCode>General</c:formatCode>
                <c:ptCount val="9"/>
                <c:pt idx="1">
                  <c:v>3600</c:v>
                </c:pt>
              </c:numCache>
            </c:numRef>
          </c:val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903k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Sheet3!$I$5:$I$14</c:f>
              <c:numCache>
                <c:formatCode>General</c:formatCode>
                <c:ptCount val="9"/>
                <c:pt idx="6">
                  <c:v>21000</c:v>
                </c:pt>
              </c:numCache>
            </c:numRef>
          </c:val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914g7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Sheet3!$J$5:$J$14</c:f>
              <c:numCache>
                <c:formatCode>General</c:formatCode>
                <c:ptCount val="9"/>
                <c:pt idx="5">
                  <c:v>27000</c:v>
                </c:pt>
              </c:numCache>
            </c:numRef>
          </c:val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951v</c:v>
                </c:pt>
              </c:strCache>
            </c:strRef>
          </c:tx>
          <c:invertIfNegative val="0"/>
          <c:cat>
            <c:strRef>
              <c:f>Sheet3!$A$5:$A$14</c:f>
              <c:strCache>
                <c:ptCount val="9"/>
                <c:pt idx="0">
                  <c:v>Angel</c:v>
                </c:pt>
                <c:pt idx="1">
                  <c:v>Diya</c:v>
                </c:pt>
                <c:pt idx="2">
                  <c:v>Garima</c:v>
                </c:pt>
                <c:pt idx="3">
                  <c:v>Kritika</c:v>
                </c:pt>
                <c:pt idx="4">
                  <c:v>Muskan</c:v>
                </c:pt>
                <c:pt idx="5">
                  <c:v>Sakshi</c:v>
                </c:pt>
                <c:pt idx="6">
                  <c:v>Siya</c:v>
                </c:pt>
                <c:pt idx="7">
                  <c:v>Vinita</c:v>
                </c:pt>
                <c:pt idx="8">
                  <c:v>Yogita</c:v>
                </c:pt>
              </c:strCache>
            </c:strRef>
          </c:cat>
          <c:val>
            <c:numRef>
              <c:f>Sheet3!$K$5:$K$14</c:f>
              <c:numCache>
                <c:formatCode>General</c:formatCode>
                <c:ptCount val="9"/>
                <c:pt idx="3">
                  <c:v>14000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161984"/>
        <c:axId val="203163520"/>
      </c:barChart>
      <c:catAx>
        <c:axId val="203161984"/>
        <c:scaling>
          <c:orientation val="minMax"/>
        </c:scaling>
        <c:delete val="0"/>
        <c:axPos val="b"/>
        <c:majorTickMark val="none"/>
        <c:minorTickMark val="none"/>
        <c:tickLblPos val="nextTo"/>
        <c:crossAx val="203163520"/>
        <c:crosses val="autoZero"/>
        <c:auto val="1"/>
        <c:lblAlgn val="ctr"/>
        <c:lblOffset val="100"/>
        <c:noMultiLvlLbl val="0"/>
      </c:catAx>
      <c:valAx>
        <c:axId val="203163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3161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14</xdr:row>
      <xdr:rowOff>161925</xdr:rowOff>
    </xdr:from>
    <xdr:to>
      <xdr:col>17</xdr:col>
      <xdr:colOff>19050</xdr:colOff>
      <xdr:row>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06.731034027776" createdVersion="4" refreshedVersion="4" minRefreshableVersion="3" recordCount="10">
  <cacheSource type="worksheet">
    <worksheetSource ref="A1:D11" sheet="Sheet4"/>
  </cacheSource>
  <cacheFields count="4">
    <cacheField name="S.no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Name" numFmtId="0">
      <sharedItems count="9">
        <s v="Garima"/>
        <s v="Vinita"/>
        <s v="Muskan"/>
        <s v="Yogita"/>
        <s v="Angel"/>
        <s v="Diya"/>
        <s v="Siya"/>
        <s v="Kritika"/>
        <s v="Sakshi"/>
      </sharedItems>
    </cacheField>
    <cacheField name="ID no" numFmtId="0">
      <sharedItems count="10">
        <s v="2u49"/>
        <s v="4h89"/>
        <s v="73g0"/>
        <s v="729k"/>
        <s v="56r"/>
        <s v="816b"/>
        <s v="903k"/>
        <s v="951v"/>
        <s v="73jn5"/>
        <s v="914g7"/>
      </sharedItems>
    </cacheField>
    <cacheField name="Salary" numFmtId="0">
      <sharedItems containsSemiMixedTypes="0" containsString="0" containsNumber="1" containsInteger="1" minValue="3600" maxValue="5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12000"/>
  </r>
  <r>
    <x v="1"/>
    <x v="1"/>
    <x v="1"/>
    <n v="47000"/>
  </r>
  <r>
    <x v="2"/>
    <x v="2"/>
    <x v="2"/>
    <n v="53000"/>
  </r>
  <r>
    <x v="3"/>
    <x v="3"/>
    <x v="3"/>
    <n v="12000"/>
  </r>
  <r>
    <x v="4"/>
    <x v="4"/>
    <x v="4"/>
    <n v="5600"/>
  </r>
  <r>
    <x v="5"/>
    <x v="5"/>
    <x v="5"/>
    <n v="3600"/>
  </r>
  <r>
    <x v="6"/>
    <x v="6"/>
    <x v="6"/>
    <n v="21000"/>
  </r>
  <r>
    <x v="7"/>
    <x v="7"/>
    <x v="7"/>
    <n v="14000"/>
  </r>
  <r>
    <x v="8"/>
    <x v="5"/>
    <x v="8"/>
    <n v="18000"/>
  </r>
  <r>
    <x v="9"/>
    <x v="8"/>
    <x v="9"/>
    <n v="2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L14" firstHeaderRow="1" firstDataRow="2" firstDataCol="1" rowPageCount="1" colPageCount="1"/>
  <pivotFields count="4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0">
        <item x="4"/>
        <item x="5"/>
        <item x="0"/>
        <item x="7"/>
        <item x="2"/>
        <item x="8"/>
        <item x="6"/>
        <item x="1"/>
        <item x="3"/>
        <item t="default"/>
      </items>
    </pivotField>
    <pivotField axis="axisCol" showAll="0">
      <items count="11">
        <item x="0"/>
        <item x="1"/>
        <item x="4"/>
        <item x="3"/>
        <item x="2"/>
        <item x="8"/>
        <item x="5"/>
        <item x="6"/>
        <item x="9"/>
        <item x="7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L14" firstHeaderRow="1" firstDataRow="2" firstDataCol="1" rowPageCount="1" colPageCount="1"/>
  <pivotFields count="4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0">
        <item x="4"/>
        <item x="5"/>
        <item x="0"/>
        <item x="7"/>
        <item x="2"/>
        <item x="8"/>
        <item x="6"/>
        <item x="1"/>
        <item x="3"/>
        <item t="default"/>
      </items>
    </pivotField>
    <pivotField axis="axisCol" showAll="0">
      <items count="11">
        <item x="0"/>
        <item x="1"/>
        <item x="4"/>
        <item x="3"/>
        <item x="2"/>
        <item x="8"/>
        <item x="5"/>
        <item x="6"/>
        <item x="9"/>
        <item x="7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Sum of Salary" fld="3" baseField="0" baseItem="0"/>
  </dataFields>
  <chartFormats count="20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5" sqref="H5"/>
    </sheetView>
  </sheetViews>
  <sheetFormatPr defaultRowHeight="15" x14ac:dyDescent="0.25"/>
  <sheetData>
    <row r="1" spans="1:7" ht="15.75" thickBot="1" x14ac:dyDescent="0.3">
      <c r="A1" s="3" t="s">
        <v>7</v>
      </c>
      <c r="B1" s="4" t="s">
        <v>0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12</v>
      </c>
    </row>
    <row r="2" spans="1:7" ht="15.75" thickTop="1" x14ac:dyDescent="0.25">
      <c r="A2" s="5">
        <v>1</v>
      </c>
      <c r="B2" s="6" t="s">
        <v>1</v>
      </c>
      <c r="C2" s="7">
        <v>5000</v>
      </c>
      <c r="D2" s="7">
        <v>16000</v>
      </c>
      <c r="E2" s="7">
        <v>9500</v>
      </c>
      <c r="F2" s="7">
        <v>6000</v>
      </c>
      <c r="G2" s="7">
        <f>SUM(C2:F2)</f>
        <v>36500</v>
      </c>
    </row>
    <row r="3" spans="1:7" x14ac:dyDescent="0.25">
      <c r="A3" s="8">
        <v>2</v>
      </c>
      <c r="B3" s="9" t="s">
        <v>2</v>
      </c>
      <c r="C3" s="2">
        <v>12000</v>
      </c>
      <c r="D3" s="2">
        <v>18000</v>
      </c>
      <c r="E3" s="2">
        <v>6000</v>
      </c>
      <c r="F3" s="2">
        <v>14000</v>
      </c>
      <c r="G3" s="2">
        <f t="shared" ref="G3:G9" si="0">SUM(C3:F3)</f>
        <v>50000</v>
      </c>
    </row>
    <row r="4" spans="1:7" x14ac:dyDescent="0.25">
      <c r="A4" s="10">
        <v>3</v>
      </c>
      <c r="B4" s="11" t="s">
        <v>3</v>
      </c>
      <c r="C4" s="12">
        <v>7000</v>
      </c>
      <c r="D4" s="12">
        <v>7000</v>
      </c>
      <c r="E4" s="12">
        <v>13000</v>
      </c>
      <c r="F4" s="12">
        <v>6000</v>
      </c>
      <c r="G4" s="12">
        <f t="shared" si="0"/>
        <v>33000</v>
      </c>
    </row>
    <row r="5" spans="1:7" x14ac:dyDescent="0.25">
      <c r="A5" s="8">
        <v>4</v>
      </c>
      <c r="B5" s="9" t="s">
        <v>1</v>
      </c>
      <c r="C5" s="2">
        <v>2000</v>
      </c>
      <c r="D5" s="2">
        <v>4000</v>
      </c>
      <c r="E5" s="2">
        <v>19000</v>
      </c>
      <c r="F5" s="2">
        <v>25000</v>
      </c>
      <c r="G5" s="2">
        <f t="shared" si="0"/>
        <v>50000</v>
      </c>
    </row>
    <row r="6" spans="1:7" x14ac:dyDescent="0.25">
      <c r="A6" s="10">
        <v>5</v>
      </c>
      <c r="B6" s="11" t="s">
        <v>4</v>
      </c>
      <c r="C6" s="12">
        <v>5000</v>
      </c>
      <c r="D6" s="12">
        <v>10000</v>
      </c>
      <c r="E6" s="12">
        <v>21000</v>
      </c>
      <c r="F6" s="12">
        <v>9000</v>
      </c>
      <c r="G6" s="12">
        <f t="shared" si="0"/>
        <v>45000</v>
      </c>
    </row>
    <row r="7" spans="1:7" x14ac:dyDescent="0.25">
      <c r="A7" s="8">
        <v>6</v>
      </c>
      <c r="B7" s="9" t="s">
        <v>5</v>
      </c>
      <c r="C7" s="2">
        <v>17000</v>
      </c>
      <c r="D7" s="2">
        <v>13000</v>
      </c>
      <c r="E7" s="2">
        <v>11000</v>
      </c>
      <c r="F7" s="2">
        <v>7000</v>
      </c>
      <c r="G7" s="2">
        <f t="shared" si="0"/>
        <v>48000</v>
      </c>
    </row>
    <row r="8" spans="1:7" x14ac:dyDescent="0.25">
      <c r="A8" s="10">
        <v>7</v>
      </c>
      <c r="B8" s="11" t="s">
        <v>5</v>
      </c>
      <c r="C8" s="12">
        <v>18000</v>
      </c>
      <c r="D8" s="12">
        <v>14000</v>
      </c>
      <c r="E8" s="12">
        <v>10000</v>
      </c>
      <c r="F8" s="12">
        <v>5000</v>
      </c>
      <c r="G8" s="12">
        <f t="shared" si="0"/>
        <v>47000</v>
      </c>
    </row>
    <row r="9" spans="1:7" x14ac:dyDescent="0.25">
      <c r="A9" s="8">
        <v>8</v>
      </c>
      <c r="B9" s="9" t="s">
        <v>6</v>
      </c>
      <c r="C9" s="2">
        <v>20000</v>
      </c>
      <c r="D9" s="2">
        <v>21000</v>
      </c>
      <c r="E9" s="2">
        <v>5000</v>
      </c>
      <c r="F9" s="2">
        <v>8000</v>
      </c>
      <c r="G9" s="2">
        <f t="shared" si="0"/>
        <v>54000</v>
      </c>
    </row>
    <row r="10" spans="1:7" x14ac:dyDescent="0.25">
      <c r="B10" s="1"/>
    </row>
  </sheetData>
  <conditionalFormatting sqref="C10:F10">
    <cfRule type="cellIs" dxfId="21" priority="10" operator="greaterThan">
      <formula>13500</formula>
    </cfRule>
  </conditionalFormatting>
  <conditionalFormatting sqref="G2:G9">
    <cfRule type="cellIs" dxfId="20" priority="9" operator="lessThan">
      <formula>28000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M15" sqref="M15"/>
    </sheetView>
  </sheetViews>
  <sheetFormatPr defaultRowHeight="15" x14ac:dyDescent="0.25"/>
  <cols>
    <col min="1" max="1" width="13.140625" customWidth="1"/>
    <col min="2" max="2" width="16.28515625" customWidth="1"/>
    <col min="3" max="3" width="6" customWidth="1"/>
    <col min="4" max="4" width="5" customWidth="1"/>
    <col min="5" max="7" width="6" customWidth="1"/>
    <col min="8" max="8" width="5.140625" customWidth="1"/>
    <col min="9" max="11" width="6" customWidth="1"/>
    <col min="12" max="12" width="11.28515625" bestFit="1" customWidth="1"/>
  </cols>
  <sheetData>
    <row r="1" spans="1:12" x14ac:dyDescent="0.25">
      <c r="A1" s="14" t="s">
        <v>7</v>
      </c>
      <c r="B1" t="s">
        <v>34</v>
      </c>
    </row>
    <row r="3" spans="1:12" x14ac:dyDescent="0.25">
      <c r="A3" s="14" t="s">
        <v>38</v>
      </c>
      <c r="B3" s="14" t="s">
        <v>37</v>
      </c>
    </row>
    <row r="4" spans="1:12" x14ac:dyDescent="0.25">
      <c r="A4" s="14" t="s">
        <v>35</v>
      </c>
      <c r="B4" t="s">
        <v>23</v>
      </c>
      <c r="C4" t="s">
        <v>24</v>
      </c>
      <c r="D4" t="s">
        <v>27</v>
      </c>
      <c r="E4" t="s">
        <v>26</v>
      </c>
      <c r="F4" t="s">
        <v>25</v>
      </c>
      <c r="G4" t="s">
        <v>31</v>
      </c>
      <c r="H4" t="s">
        <v>28</v>
      </c>
      <c r="I4" t="s">
        <v>29</v>
      </c>
      <c r="J4" t="s">
        <v>32</v>
      </c>
      <c r="K4" t="s">
        <v>30</v>
      </c>
      <c r="L4" t="s">
        <v>36</v>
      </c>
    </row>
    <row r="5" spans="1:12" x14ac:dyDescent="0.25">
      <c r="A5" s="15" t="s">
        <v>17</v>
      </c>
      <c r="B5" s="16"/>
      <c r="C5" s="16"/>
      <c r="D5" s="16">
        <v>5600</v>
      </c>
      <c r="E5" s="16"/>
      <c r="F5" s="16"/>
      <c r="G5" s="16"/>
      <c r="H5" s="16"/>
      <c r="I5" s="16"/>
      <c r="J5" s="16"/>
      <c r="K5" s="16"/>
      <c r="L5" s="16">
        <v>5600</v>
      </c>
    </row>
    <row r="6" spans="1:12" x14ac:dyDescent="0.25">
      <c r="A6" s="15" t="s">
        <v>18</v>
      </c>
      <c r="B6" s="16"/>
      <c r="C6" s="16"/>
      <c r="D6" s="16"/>
      <c r="E6" s="16"/>
      <c r="F6" s="16"/>
      <c r="G6" s="16">
        <v>18000</v>
      </c>
      <c r="H6" s="16">
        <v>3600</v>
      </c>
      <c r="I6" s="16"/>
      <c r="J6" s="16"/>
      <c r="K6" s="16"/>
      <c r="L6" s="16">
        <v>21600</v>
      </c>
    </row>
    <row r="7" spans="1:12" x14ac:dyDescent="0.25">
      <c r="A7" s="15" t="s">
        <v>13</v>
      </c>
      <c r="B7" s="16">
        <v>12000</v>
      </c>
      <c r="C7" s="16"/>
      <c r="D7" s="16"/>
      <c r="E7" s="16"/>
      <c r="F7" s="16"/>
      <c r="G7" s="16"/>
      <c r="H7" s="16"/>
      <c r="I7" s="16"/>
      <c r="J7" s="16"/>
      <c r="K7" s="16"/>
      <c r="L7" s="16">
        <v>12000</v>
      </c>
    </row>
    <row r="8" spans="1:12" x14ac:dyDescent="0.25">
      <c r="A8" s="15" t="s">
        <v>20</v>
      </c>
      <c r="B8" s="16"/>
      <c r="C8" s="16"/>
      <c r="D8" s="16"/>
      <c r="E8" s="16"/>
      <c r="F8" s="16"/>
      <c r="G8" s="16"/>
      <c r="H8" s="16"/>
      <c r="I8" s="16"/>
      <c r="J8" s="16"/>
      <c r="K8" s="16">
        <v>14000</v>
      </c>
      <c r="L8" s="16">
        <v>14000</v>
      </c>
    </row>
    <row r="9" spans="1:12" x14ac:dyDescent="0.25">
      <c r="A9" s="15" t="s">
        <v>15</v>
      </c>
      <c r="B9" s="16"/>
      <c r="C9" s="16"/>
      <c r="D9" s="16"/>
      <c r="E9" s="16"/>
      <c r="F9" s="16">
        <v>53000</v>
      </c>
      <c r="G9" s="16"/>
      <c r="H9" s="16"/>
      <c r="I9" s="16"/>
      <c r="J9" s="16"/>
      <c r="K9" s="16"/>
      <c r="L9" s="16">
        <v>53000</v>
      </c>
    </row>
    <row r="10" spans="1:12" x14ac:dyDescent="0.25">
      <c r="A10" s="15" t="s">
        <v>21</v>
      </c>
      <c r="B10" s="16"/>
      <c r="C10" s="16"/>
      <c r="D10" s="16"/>
      <c r="E10" s="16"/>
      <c r="F10" s="16"/>
      <c r="G10" s="16"/>
      <c r="H10" s="16"/>
      <c r="I10" s="16"/>
      <c r="J10" s="16">
        <v>27000</v>
      </c>
      <c r="K10" s="16"/>
      <c r="L10" s="16">
        <v>27000</v>
      </c>
    </row>
    <row r="11" spans="1:12" x14ac:dyDescent="0.25">
      <c r="A11" s="15" t="s">
        <v>19</v>
      </c>
      <c r="B11" s="16"/>
      <c r="C11" s="16"/>
      <c r="D11" s="16"/>
      <c r="E11" s="16"/>
      <c r="F11" s="16"/>
      <c r="G11" s="16"/>
      <c r="H11" s="16"/>
      <c r="I11" s="16">
        <v>21000</v>
      </c>
      <c r="J11" s="16"/>
      <c r="K11" s="16"/>
      <c r="L11" s="16">
        <v>21000</v>
      </c>
    </row>
    <row r="12" spans="1:12" x14ac:dyDescent="0.25">
      <c r="A12" s="15" t="s">
        <v>14</v>
      </c>
      <c r="B12" s="16"/>
      <c r="C12" s="16">
        <v>47000</v>
      </c>
      <c r="D12" s="16"/>
      <c r="E12" s="16"/>
      <c r="F12" s="16"/>
      <c r="G12" s="16"/>
      <c r="H12" s="16"/>
      <c r="I12" s="16"/>
      <c r="J12" s="16"/>
      <c r="K12" s="16"/>
      <c r="L12" s="16">
        <v>47000</v>
      </c>
    </row>
    <row r="13" spans="1:12" x14ac:dyDescent="0.25">
      <c r="A13" s="15" t="s">
        <v>16</v>
      </c>
      <c r="B13" s="16"/>
      <c r="C13" s="16"/>
      <c r="D13" s="16"/>
      <c r="E13" s="16">
        <v>12000</v>
      </c>
      <c r="F13" s="16"/>
      <c r="G13" s="16"/>
      <c r="H13" s="16"/>
      <c r="I13" s="16"/>
      <c r="J13" s="16"/>
      <c r="K13" s="16"/>
      <c r="L13" s="16">
        <v>12000</v>
      </c>
    </row>
    <row r="14" spans="1:12" x14ac:dyDescent="0.25">
      <c r="A14" s="15" t="s">
        <v>36</v>
      </c>
      <c r="B14" s="16">
        <v>12000</v>
      </c>
      <c r="C14" s="16">
        <v>47000</v>
      </c>
      <c r="D14" s="16">
        <v>5600</v>
      </c>
      <c r="E14" s="16">
        <v>12000</v>
      </c>
      <c r="F14" s="16">
        <v>53000</v>
      </c>
      <c r="G14" s="16">
        <v>18000</v>
      </c>
      <c r="H14" s="16">
        <v>3600</v>
      </c>
      <c r="I14" s="16">
        <v>21000</v>
      </c>
      <c r="J14" s="16">
        <v>27000</v>
      </c>
      <c r="K14" s="16">
        <v>14000</v>
      </c>
      <c r="L14" s="16">
        <v>213200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G26" sqref="G26"/>
    </sheetView>
  </sheetViews>
  <sheetFormatPr defaultRowHeight="15" x14ac:dyDescent="0.25"/>
  <cols>
    <col min="1" max="1" width="13.140625" customWidth="1"/>
    <col min="2" max="2" width="16.28515625" customWidth="1"/>
    <col min="3" max="3" width="6" customWidth="1"/>
    <col min="4" max="4" width="5" customWidth="1"/>
    <col min="5" max="7" width="6" customWidth="1"/>
    <col min="8" max="8" width="5.140625" customWidth="1"/>
    <col min="9" max="11" width="6" customWidth="1"/>
    <col min="12" max="12" width="11.28515625" bestFit="1" customWidth="1"/>
  </cols>
  <sheetData>
    <row r="1" spans="1:12" x14ac:dyDescent="0.25">
      <c r="A1" s="14" t="s">
        <v>7</v>
      </c>
      <c r="B1" t="s">
        <v>34</v>
      </c>
    </row>
    <row r="3" spans="1:12" x14ac:dyDescent="0.25">
      <c r="A3" s="14" t="s">
        <v>38</v>
      </c>
      <c r="B3" s="14" t="s">
        <v>37</v>
      </c>
    </row>
    <row r="4" spans="1:12" x14ac:dyDescent="0.25">
      <c r="A4" s="14" t="s">
        <v>35</v>
      </c>
      <c r="B4" t="s">
        <v>23</v>
      </c>
      <c r="C4" t="s">
        <v>24</v>
      </c>
      <c r="D4" t="s">
        <v>27</v>
      </c>
      <c r="E4" t="s">
        <v>26</v>
      </c>
      <c r="F4" t="s">
        <v>25</v>
      </c>
      <c r="G4" t="s">
        <v>31</v>
      </c>
      <c r="H4" t="s">
        <v>28</v>
      </c>
      <c r="I4" t="s">
        <v>29</v>
      </c>
      <c r="J4" t="s">
        <v>32</v>
      </c>
      <c r="K4" t="s">
        <v>30</v>
      </c>
      <c r="L4" t="s">
        <v>36</v>
      </c>
    </row>
    <row r="5" spans="1:12" x14ac:dyDescent="0.25">
      <c r="A5" s="15" t="s">
        <v>17</v>
      </c>
      <c r="B5" s="16"/>
      <c r="C5" s="16"/>
      <c r="D5" s="16">
        <v>5600</v>
      </c>
      <c r="E5" s="16"/>
      <c r="F5" s="16"/>
      <c r="G5" s="16"/>
      <c r="H5" s="16"/>
      <c r="I5" s="16"/>
      <c r="J5" s="16"/>
      <c r="K5" s="16"/>
      <c r="L5" s="16">
        <v>5600</v>
      </c>
    </row>
    <row r="6" spans="1:12" x14ac:dyDescent="0.25">
      <c r="A6" s="15" t="s">
        <v>18</v>
      </c>
      <c r="B6" s="16"/>
      <c r="C6" s="16"/>
      <c r="D6" s="16"/>
      <c r="E6" s="16"/>
      <c r="F6" s="16"/>
      <c r="G6" s="16">
        <v>18000</v>
      </c>
      <c r="H6" s="16">
        <v>3600</v>
      </c>
      <c r="I6" s="16"/>
      <c r="J6" s="16"/>
      <c r="K6" s="16"/>
      <c r="L6" s="16">
        <v>21600</v>
      </c>
    </row>
    <row r="7" spans="1:12" x14ac:dyDescent="0.25">
      <c r="A7" s="15" t="s">
        <v>13</v>
      </c>
      <c r="B7" s="16">
        <v>12000</v>
      </c>
      <c r="C7" s="16"/>
      <c r="D7" s="16"/>
      <c r="E7" s="16"/>
      <c r="F7" s="16"/>
      <c r="G7" s="16"/>
      <c r="H7" s="16"/>
      <c r="I7" s="16"/>
      <c r="J7" s="16"/>
      <c r="K7" s="16"/>
      <c r="L7" s="16">
        <v>12000</v>
      </c>
    </row>
    <row r="8" spans="1:12" x14ac:dyDescent="0.25">
      <c r="A8" s="15" t="s">
        <v>20</v>
      </c>
      <c r="B8" s="16"/>
      <c r="C8" s="16"/>
      <c r="D8" s="16"/>
      <c r="E8" s="16"/>
      <c r="F8" s="16"/>
      <c r="G8" s="16"/>
      <c r="H8" s="16"/>
      <c r="I8" s="16"/>
      <c r="J8" s="16"/>
      <c r="K8" s="16">
        <v>14000</v>
      </c>
      <c r="L8" s="16">
        <v>14000</v>
      </c>
    </row>
    <row r="9" spans="1:12" x14ac:dyDescent="0.25">
      <c r="A9" s="15" t="s">
        <v>15</v>
      </c>
      <c r="B9" s="16"/>
      <c r="C9" s="16"/>
      <c r="D9" s="16"/>
      <c r="E9" s="16"/>
      <c r="F9" s="16">
        <v>53000</v>
      </c>
      <c r="G9" s="16"/>
      <c r="H9" s="16"/>
      <c r="I9" s="16"/>
      <c r="J9" s="16"/>
      <c r="K9" s="16"/>
      <c r="L9" s="16">
        <v>53000</v>
      </c>
    </row>
    <row r="10" spans="1:12" x14ac:dyDescent="0.25">
      <c r="A10" s="15" t="s">
        <v>21</v>
      </c>
      <c r="B10" s="16"/>
      <c r="C10" s="16"/>
      <c r="D10" s="16"/>
      <c r="E10" s="16"/>
      <c r="F10" s="16"/>
      <c r="G10" s="16"/>
      <c r="H10" s="16"/>
      <c r="I10" s="16"/>
      <c r="J10" s="16">
        <v>27000</v>
      </c>
      <c r="K10" s="16"/>
      <c r="L10" s="16">
        <v>27000</v>
      </c>
    </row>
    <row r="11" spans="1:12" x14ac:dyDescent="0.25">
      <c r="A11" s="15" t="s">
        <v>19</v>
      </c>
      <c r="B11" s="16"/>
      <c r="C11" s="16"/>
      <c r="D11" s="16"/>
      <c r="E11" s="16"/>
      <c r="F11" s="16"/>
      <c r="G11" s="16"/>
      <c r="H11" s="16"/>
      <c r="I11" s="16">
        <v>21000</v>
      </c>
      <c r="J11" s="16"/>
      <c r="K11" s="16"/>
      <c r="L11" s="16">
        <v>21000</v>
      </c>
    </row>
    <row r="12" spans="1:12" x14ac:dyDescent="0.25">
      <c r="A12" s="15" t="s">
        <v>14</v>
      </c>
      <c r="B12" s="16"/>
      <c r="C12" s="16">
        <v>47000</v>
      </c>
      <c r="D12" s="16"/>
      <c r="E12" s="16"/>
      <c r="F12" s="16"/>
      <c r="G12" s="16"/>
      <c r="H12" s="16"/>
      <c r="I12" s="16"/>
      <c r="J12" s="16"/>
      <c r="K12" s="16"/>
      <c r="L12" s="16">
        <v>47000</v>
      </c>
    </row>
    <row r="13" spans="1:12" x14ac:dyDescent="0.25">
      <c r="A13" s="15" t="s">
        <v>16</v>
      </c>
      <c r="B13" s="16"/>
      <c r="C13" s="16"/>
      <c r="D13" s="16"/>
      <c r="E13" s="16">
        <v>12000</v>
      </c>
      <c r="F13" s="16"/>
      <c r="G13" s="16"/>
      <c r="H13" s="16"/>
      <c r="I13" s="16"/>
      <c r="J13" s="16"/>
      <c r="K13" s="16"/>
      <c r="L13" s="16">
        <v>12000</v>
      </c>
    </row>
    <row r="14" spans="1:12" x14ac:dyDescent="0.25">
      <c r="A14" s="15" t="s">
        <v>36</v>
      </c>
      <c r="B14" s="16">
        <v>12000</v>
      </c>
      <c r="C14" s="16">
        <v>47000</v>
      </c>
      <c r="D14" s="16">
        <v>5600</v>
      </c>
      <c r="E14" s="16">
        <v>12000</v>
      </c>
      <c r="F14" s="16">
        <v>53000</v>
      </c>
      <c r="G14" s="16">
        <v>18000</v>
      </c>
      <c r="H14" s="16">
        <v>3600</v>
      </c>
      <c r="I14" s="16">
        <v>21000</v>
      </c>
      <c r="J14" s="16">
        <v>27000</v>
      </c>
      <c r="K14" s="16">
        <v>14000</v>
      </c>
      <c r="L14" s="16">
        <v>213200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4" sqref="G4"/>
    </sheetView>
  </sheetViews>
  <sheetFormatPr defaultRowHeight="15" x14ac:dyDescent="0.25"/>
  <sheetData>
    <row r="1" spans="1:4" x14ac:dyDescent="0.25">
      <c r="A1" s="1" t="s">
        <v>7</v>
      </c>
      <c r="B1" s="1" t="s">
        <v>0</v>
      </c>
      <c r="C1" s="1" t="s">
        <v>22</v>
      </c>
      <c r="D1" s="1" t="s">
        <v>33</v>
      </c>
    </row>
    <row r="2" spans="1:4" x14ac:dyDescent="0.25">
      <c r="A2" s="1">
        <v>1</v>
      </c>
      <c r="B2" s="1" t="s">
        <v>13</v>
      </c>
      <c r="C2" s="1" t="s">
        <v>39</v>
      </c>
      <c r="D2" s="1">
        <v>12000</v>
      </c>
    </row>
    <row r="3" spans="1:4" x14ac:dyDescent="0.25">
      <c r="A3" s="1">
        <v>2</v>
      </c>
      <c r="B3" s="1" t="s">
        <v>14</v>
      </c>
      <c r="C3" s="1" t="s">
        <v>40</v>
      </c>
      <c r="D3" s="1">
        <v>47000</v>
      </c>
    </row>
    <row r="4" spans="1:4" x14ac:dyDescent="0.25">
      <c r="A4" s="1">
        <v>3</v>
      </c>
      <c r="B4" s="1" t="s">
        <v>15</v>
      </c>
      <c r="C4" s="1" t="s">
        <v>41</v>
      </c>
      <c r="D4" s="1">
        <v>53000</v>
      </c>
    </row>
    <row r="5" spans="1:4" x14ac:dyDescent="0.25">
      <c r="A5" s="1">
        <v>4</v>
      </c>
      <c r="B5" s="1" t="s">
        <v>16</v>
      </c>
      <c r="C5" s="1" t="s">
        <v>42</v>
      </c>
      <c r="D5" s="1">
        <v>12000</v>
      </c>
    </row>
    <row r="6" spans="1:4" x14ac:dyDescent="0.25">
      <c r="A6" s="1">
        <v>5</v>
      </c>
      <c r="B6" s="1" t="s">
        <v>17</v>
      </c>
      <c r="C6" s="1" t="s">
        <v>43</v>
      </c>
      <c r="D6" s="1">
        <v>5600</v>
      </c>
    </row>
    <row r="7" spans="1:4" x14ac:dyDescent="0.25">
      <c r="A7" s="1">
        <v>6</v>
      </c>
      <c r="B7" s="1" t="s">
        <v>18</v>
      </c>
      <c r="C7" s="1" t="s">
        <v>44</v>
      </c>
      <c r="D7" s="1">
        <v>3600</v>
      </c>
    </row>
    <row r="8" spans="1:4" x14ac:dyDescent="0.25">
      <c r="A8" s="1">
        <v>7</v>
      </c>
      <c r="B8" s="1" t="s">
        <v>19</v>
      </c>
      <c r="C8" s="1" t="s">
        <v>45</v>
      </c>
      <c r="D8" s="1">
        <v>21000</v>
      </c>
    </row>
    <row r="9" spans="1:4" x14ac:dyDescent="0.25">
      <c r="A9" s="1">
        <v>8</v>
      </c>
      <c r="B9" s="1" t="s">
        <v>20</v>
      </c>
      <c r="C9" s="1" t="s">
        <v>46</v>
      </c>
      <c r="D9" s="1">
        <v>14000</v>
      </c>
    </row>
    <row r="10" spans="1:4" x14ac:dyDescent="0.25">
      <c r="A10" s="1">
        <v>9</v>
      </c>
      <c r="B10" s="1" t="s">
        <v>18</v>
      </c>
      <c r="C10" s="1" t="s">
        <v>46</v>
      </c>
      <c r="D10" s="1">
        <v>18000</v>
      </c>
    </row>
    <row r="11" spans="1:4" x14ac:dyDescent="0.25">
      <c r="A11" s="1">
        <v>10</v>
      </c>
      <c r="B11" s="1" t="s">
        <v>21</v>
      </c>
      <c r="C11" s="1" t="s">
        <v>47</v>
      </c>
      <c r="D11" s="1">
        <v>27000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opLeftCell="A28" workbookViewId="0">
      <selection activeCell="E51" sqref="E51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0.140625" bestFit="1" customWidth="1"/>
    <col min="8" max="8" width="8.85546875" customWidth="1"/>
    <col min="9" max="9" width="8.7109375" customWidth="1"/>
  </cols>
  <sheetData>
    <row r="1" spans="1:10" x14ac:dyDescent="0.25">
      <c r="A1" s="19" t="s">
        <v>49</v>
      </c>
      <c r="B1" s="19" t="s">
        <v>0</v>
      </c>
      <c r="C1" s="19" t="s">
        <v>50</v>
      </c>
      <c r="I1" s="22"/>
      <c r="J1" s="22"/>
    </row>
    <row r="2" spans="1:10" x14ac:dyDescent="0.25">
      <c r="A2" s="18">
        <v>1</v>
      </c>
      <c r="B2" s="18" t="s">
        <v>51</v>
      </c>
      <c r="C2" s="18">
        <v>85</v>
      </c>
      <c r="I2" s="22"/>
      <c r="J2" s="22"/>
    </row>
    <row r="3" spans="1:10" x14ac:dyDescent="0.25">
      <c r="A3" s="18">
        <v>2</v>
      </c>
      <c r="B3" s="18" t="s">
        <v>52</v>
      </c>
      <c r="C3" s="18">
        <v>92</v>
      </c>
      <c r="E3" t="s">
        <v>48</v>
      </c>
      <c r="I3" s="22"/>
      <c r="J3" s="22"/>
    </row>
    <row r="4" spans="1:10" x14ac:dyDescent="0.25">
      <c r="I4" s="22"/>
      <c r="J4" s="22"/>
    </row>
    <row r="5" spans="1:10" x14ac:dyDescent="0.25">
      <c r="A5" s="20" t="s">
        <v>53</v>
      </c>
      <c r="B5" s="20" t="s">
        <v>0</v>
      </c>
      <c r="C5" s="20" t="s">
        <v>33</v>
      </c>
      <c r="I5" s="22"/>
      <c r="J5" s="22"/>
    </row>
    <row r="6" spans="1:10" x14ac:dyDescent="0.25">
      <c r="A6" s="1">
        <v>101</v>
      </c>
      <c r="B6" s="1" t="s">
        <v>54</v>
      </c>
      <c r="C6" s="21">
        <v>25000</v>
      </c>
      <c r="I6" s="22"/>
      <c r="J6" s="22"/>
    </row>
    <row r="7" spans="1:10" x14ac:dyDescent="0.25">
      <c r="A7" s="1">
        <v>102</v>
      </c>
      <c r="B7" s="1" t="s">
        <v>55</v>
      </c>
      <c r="C7" s="21">
        <v>30000</v>
      </c>
      <c r="I7" s="22"/>
      <c r="J7" s="22"/>
    </row>
    <row r="8" spans="1:10" x14ac:dyDescent="0.25">
      <c r="I8" s="22"/>
      <c r="J8" s="22"/>
    </row>
    <row r="9" spans="1:10" x14ac:dyDescent="0.25">
      <c r="A9" s="26" t="s">
        <v>56</v>
      </c>
      <c r="B9" s="27" t="s">
        <v>57</v>
      </c>
      <c r="I9" s="22"/>
      <c r="J9" s="22"/>
    </row>
    <row r="10" spans="1:10" x14ac:dyDescent="0.25">
      <c r="A10" s="28" t="s">
        <v>8</v>
      </c>
      <c r="B10" s="29">
        <v>50000</v>
      </c>
      <c r="I10" s="22"/>
      <c r="J10" s="22"/>
    </row>
    <row r="11" spans="1:10" x14ac:dyDescent="0.25">
      <c r="A11" s="28" t="s">
        <v>9</v>
      </c>
      <c r="B11" s="29">
        <v>65000</v>
      </c>
      <c r="I11" s="22"/>
      <c r="J11" s="22"/>
    </row>
    <row r="12" spans="1:10" x14ac:dyDescent="0.25">
      <c r="A12" s="22"/>
      <c r="I12" s="22"/>
      <c r="J12" s="22"/>
    </row>
    <row r="13" spans="1:10" x14ac:dyDescent="0.25">
      <c r="A13" s="23" t="s">
        <v>0</v>
      </c>
      <c r="B13" s="24" t="s">
        <v>58</v>
      </c>
      <c r="I13" s="22"/>
      <c r="J13" s="22"/>
    </row>
    <row r="14" spans="1:10" x14ac:dyDescent="0.25">
      <c r="A14" s="23" t="s">
        <v>59</v>
      </c>
      <c r="B14" s="25">
        <v>0.95</v>
      </c>
      <c r="I14" s="22"/>
      <c r="J14" s="22"/>
    </row>
    <row r="15" spans="1:10" x14ac:dyDescent="0.25">
      <c r="A15" s="23" t="s">
        <v>60</v>
      </c>
      <c r="B15" s="25">
        <v>0.72</v>
      </c>
      <c r="I15" s="22"/>
      <c r="J15" s="22"/>
    </row>
    <row r="16" spans="1:10" x14ac:dyDescent="0.25">
      <c r="I16" s="22"/>
      <c r="J16" s="22"/>
    </row>
    <row r="17" spans="1:10" x14ac:dyDescent="0.25">
      <c r="A17" s="17" t="s">
        <v>61</v>
      </c>
      <c r="B17" s="17" t="s">
        <v>62</v>
      </c>
      <c r="I17" s="22"/>
      <c r="J17" s="22"/>
    </row>
    <row r="18" spans="1:10" x14ac:dyDescent="0.25">
      <c r="A18" s="18" t="s">
        <v>63</v>
      </c>
      <c r="B18" s="18">
        <v>120</v>
      </c>
      <c r="I18" s="22"/>
      <c r="J18" s="22"/>
    </row>
    <row r="19" spans="1:10" x14ac:dyDescent="0.25">
      <c r="A19" s="18" t="s">
        <v>64</v>
      </c>
      <c r="B19" s="18">
        <v>20</v>
      </c>
      <c r="I19" s="22"/>
      <c r="J19" s="22"/>
    </row>
    <row r="20" spans="1:10" x14ac:dyDescent="0.25">
      <c r="I20" s="22"/>
      <c r="J20" s="22"/>
    </row>
    <row r="21" spans="1:10" x14ac:dyDescent="0.25">
      <c r="I21" s="22"/>
      <c r="J21" s="22"/>
    </row>
    <row r="22" spans="1:10" x14ac:dyDescent="0.25">
      <c r="I22" s="22"/>
      <c r="J22" s="22"/>
    </row>
    <row r="23" spans="1:10" x14ac:dyDescent="0.25">
      <c r="I23" s="22"/>
      <c r="J23" s="22"/>
    </row>
    <row r="24" spans="1:10" x14ac:dyDescent="0.25">
      <c r="I24" s="22"/>
      <c r="J24" s="22"/>
    </row>
    <row r="25" spans="1:10" x14ac:dyDescent="0.25">
      <c r="A25" s="23" t="s">
        <v>0</v>
      </c>
      <c r="B25" s="24" t="s">
        <v>50</v>
      </c>
      <c r="I25" s="22"/>
      <c r="J25" s="22"/>
    </row>
    <row r="26" spans="1:10" x14ac:dyDescent="0.25">
      <c r="A26" s="23" t="s">
        <v>51</v>
      </c>
      <c r="B26" s="24">
        <v>85</v>
      </c>
      <c r="I26" s="22"/>
      <c r="J26" s="22"/>
    </row>
    <row r="27" spans="1:10" x14ac:dyDescent="0.25">
      <c r="A27" s="23" t="s">
        <v>65</v>
      </c>
      <c r="B27" s="24">
        <v>45</v>
      </c>
      <c r="I27" s="22"/>
      <c r="J27" s="22"/>
    </row>
    <row r="28" spans="1:10" x14ac:dyDescent="0.25">
      <c r="I28" s="22"/>
      <c r="J28" s="22"/>
    </row>
    <row r="29" spans="1:10" x14ac:dyDescent="0.25">
      <c r="A29" s="35" t="s">
        <v>66</v>
      </c>
      <c r="B29" s="36" t="s">
        <v>58</v>
      </c>
      <c r="I29" s="22"/>
      <c r="J29" s="22"/>
    </row>
    <row r="30" spans="1:10" x14ac:dyDescent="0.25">
      <c r="A30" s="30" t="s">
        <v>60</v>
      </c>
      <c r="B30" s="32">
        <v>0.6</v>
      </c>
      <c r="I30" s="22"/>
      <c r="J30" s="22"/>
    </row>
    <row r="31" spans="1:10" x14ac:dyDescent="0.25">
      <c r="A31" s="30" t="s">
        <v>59</v>
      </c>
      <c r="B31" s="32">
        <v>0.95</v>
      </c>
      <c r="I31" s="22"/>
      <c r="J31" s="22"/>
    </row>
    <row r="32" spans="1:10" x14ac:dyDescent="0.25">
      <c r="A32" s="30" t="s">
        <v>60</v>
      </c>
      <c r="B32" s="32">
        <v>0.54</v>
      </c>
      <c r="I32" s="22"/>
      <c r="J32" s="22"/>
    </row>
    <row r="33" spans="1:10" x14ac:dyDescent="0.25">
      <c r="A33" s="30" t="s">
        <v>60</v>
      </c>
      <c r="B33" s="32">
        <v>0.78</v>
      </c>
      <c r="I33" s="22"/>
      <c r="J33" s="22"/>
    </row>
    <row r="34" spans="1:10" x14ac:dyDescent="0.25">
      <c r="A34" s="30" t="s">
        <v>60</v>
      </c>
      <c r="B34" s="32">
        <v>0.49</v>
      </c>
      <c r="I34" s="22"/>
      <c r="J34" s="22"/>
    </row>
    <row r="35" spans="1:10" x14ac:dyDescent="0.25">
      <c r="I35" s="22"/>
      <c r="J35" s="22"/>
    </row>
    <row r="36" spans="1:10" x14ac:dyDescent="0.25">
      <c r="A36" s="30" t="s">
        <v>67</v>
      </c>
      <c r="B36" s="31"/>
      <c r="I36" s="22"/>
      <c r="J36" s="22"/>
    </row>
    <row r="37" spans="1:10" x14ac:dyDescent="0.25">
      <c r="A37" s="30" t="s">
        <v>51</v>
      </c>
      <c r="B37" s="31"/>
      <c r="E37" s="37"/>
      <c r="F37" s="38"/>
      <c r="I37" s="22"/>
      <c r="J37" s="22"/>
    </row>
    <row r="38" spans="1:10" x14ac:dyDescent="0.25">
      <c r="A38" s="30" t="s">
        <v>65</v>
      </c>
      <c r="B38" s="31"/>
      <c r="I38" s="22"/>
      <c r="J38" s="22"/>
    </row>
    <row r="39" spans="1:10" x14ac:dyDescent="0.25">
      <c r="A39" s="30" t="s">
        <v>68</v>
      </c>
      <c r="B39" s="31"/>
      <c r="I39" s="22"/>
      <c r="J39" s="22"/>
    </row>
    <row r="40" spans="1:10" x14ac:dyDescent="0.25">
      <c r="I40" s="22"/>
      <c r="J40" s="22"/>
    </row>
    <row r="41" spans="1:10" x14ac:dyDescent="0.25">
      <c r="A41" s="30" t="s">
        <v>69</v>
      </c>
      <c r="B41" s="33" t="s">
        <v>57</v>
      </c>
      <c r="I41" s="22"/>
      <c r="J41" s="22"/>
    </row>
    <row r="42" spans="1:10" x14ac:dyDescent="0.25">
      <c r="A42" s="30" t="s">
        <v>70</v>
      </c>
      <c r="B42" s="24">
        <v>50000</v>
      </c>
      <c r="I42" s="22"/>
      <c r="J42" s="22"/>
    </row>
    <row r="43" spans="1:10" x14ac:dyDescent="0.25">
      <c r="A43" s="30" t="s">
        <v>55</v>
      </c>
      <c r="B43" s="24">
        <v>30000</v>
      </c>
      <c r="I43" s="22"/>
      <c r="J43" s="22"/>
    </row>
    <row r="44" spans="1:10" x14ac:dyDescent="0.25">
      <c r="I44" s="22"/>
      <c r="J44" s="22"/>
    </row>
    <row r="45" spans="1:10" x14ac:dyDescent="0.25">
      <c r="A45" s="30" t="s">
        <v>61</v>
      </c>
      <c r="B45" s="31" t="s">
        <v>71</v>
      </c>
      <c r="I45" s="22"/>
      <c r="J45" s="22"/>
    </row>
    <row r="46" spans="1:10" x14ac:dyDescent="0.25">
      <c r="A46" s="30" t="s">
        <v>72</v>
      </c>
      <c r="B46" s="34" t="s">
        <v>74</v>
      </c>
      <c r="I46" s="22"/>
      <c r="J46" s="22"/>
    </row>
    <row r="47" spans="1:10" x14ac:dyDescent="0.25">
      <c r="A47" s="30" t="s">
        <v>73</v>
      </c>
      <c r="B47" s="34" t="s">
        <v>75</v>
      </c>
      <c r="I47" s="22"/>
      <c r="J47" s="22"/>
    </row>
    <row r="48" spans="1:10" x14ac:dyDescent="0.25">
      <c r="I48" s="22"/>
      <c r="J48" s="22"/>
    </row>
    <row r="49" spans="9:10" x14ac:dyDescent="0.25">
      <c r="I49" s="22"/>
      <c r="J49" s="22"/>
    </row>
    <row r="50" spans="9:10" x14ac:dyDescent="0.25">
      <c r="I50" s="22"/>
      <c r="J50" s="22"/>
    </row>
    <row r="51" spans="9:10" x14ac:dyDescent="0.25">
      <c r="I51" s="22"/>
      <c r="J51" s="22"/>
    </row>
    <row r="52" spans="9:10" x14ac:dyDescent="0.25">
      <c r="I52" s="22"/>
      <c r="J52" s="22"/>
    </row>
    <row r="53" spans="9:10" x14ac:dyDescent="0.25">
      <c r="I53" s="22"/>
      <c r="J53" s="22"/>
    </row>
    <row r="54" spans="9:10" x14ac:dyDescent="0.25">
      <c r="I54" s="22"/>
      <c r="J54" s="22"/>
    </row>
    <row r="55" spans="9:10" x14ac:dyDescent="0.25">
      <c r="I55" s="22"/>
      <c r="J55" s="22"/>
    </row>
    <row r="56" spans="9:10" x14ac:dyDescent="0.25">
      <c r="I56" s="22"/>
      <c r="J56" s="22"/>
    </row>
    <row r="57" spans="9:10" x14ac:dyDescent="0.25">
      <c r="I57" s="22"/>
      <c r="J57" s="22"/>
    </row>
    <row r="58" spans="9:10" x14ac:dyDescent="0.25">
      <c r="I58" s="22"/>
      <c r="J58" s="22"/>
    </row>
    <row r="59" spans="9:10" x14ac:dyDescent="0.25">
      <c r="I59" s="22"/>
      <c r="J59" s="22"/>
    </row>
    <row r="60" spans="9:10" x14ac:dyDescent="0.25">
      <c r="I60" s="22"/>
      <c r="J60" s="22"/>
    </row>
    <row r="61" spans="9:10" x14ac:dyDescent="0.25">
      <c r="I61" s="22"/>
      <c r="J61" s="22"/>
    </row>
    <row r="62" spans="9:10" x14ac:dyDescent="0.25">
      <c r="I62" s="22"/>
      <c r="J62" s="22"/>
    </row>
    <row r="63" spans="9:10" x14ac:dyDescent="0.25">
      <c r="I63" s="22"/>
      <c r="J63" s="22"/>
    </row>
    <row r="64" spans="9:10" x14ac:dyDescent="0.25">
      <c r="I64" s="22"/>
      <c r="J64" s="22"/>
    </row>
    <row r="65" spans="9:10" x14ac:dyDescent="0.25">
      <c r="I65" s="22"/>
      <c r="J65" s="22"/>
    </row>
    <row r="66" spans="9:10" x14ac:dyDescent="0.25">
      <c r="I66" s="22"/>
      <c r="J66" s="22"/>
    </row>
    <row r="67" spans="9:10" x14ac:dyDescent="0.25">
      <c r="I67" s="22"/>
      <c r="J67" s="22"/>
    </row>
    <row r="68" spans="9:10" x14ac:dyDescent="0.25">
      <c r="I68" s="22"/>
      <c r="J68" s="22"/>
    </row>
    <row r="69" spans="9:10" x14ac:dyDescent="0.25">
      <c r="I69" s="22"/>
      <c r="J69" s="22"/>
    </row>
    <row r="70" spans="9:10" x14ac:dyDescent="0.25">
      <c r="I70" s="22"/>
      <c r="J70" s="22"/>
    </row>
    <row r="71" spans="9:10" x14ac:dyDescent="0.25">
      <c r="I71" s="22"/>
      <c r="J71" s="22"/>
    </row>
    <row r="72" spans="9:10" x14ac:dyDescent="0.25">
      <c r="I72" s="22"/>
      <c r="J72" s="22"/>
    </row>
    <row r="73" spans="9:10" x14ac:dyDescent="0.25">
      <c r="I73" s="22"/>
      <c r="J73" s="22"/>
    </row>
    <row r="74" spans="9:10" x14ac:dyDescent="0.25">
      <c r="I74" s="22"/>
      <c r="J74" s="22"/>
    </row>
    <row r="75" spans="9:10" x14ac:dyDescent="0.25">
      <c r="I75" s="22"/>
      <c r="J75" s="22"/>
    </row>
    <row r="76" spans="9:10" x14ac:dyDescent="0.25">
      <c r="I76" s="22"/>
      <c r="J76" s="22"/>
    </row>
    <row r="77" spans="9:10" x14ac:dyDescent="0.25">
      <c r="I77" s="22"/>
      <c r="J77" s="22"/>
    </row>
    <row r="78" spans="9:10" x14ac:dyDescent="0.25">
      <c r="I78" s="22"/>
      <c r="J78" s="22"/>
    </row>
  </sheetData>
  <conditionalFormatting sqref="E3">
    <cfRule type="colorScale" priority="25">
      <colorScale>
        <cfvo type="min"/>
        <cfvo type="max"/>
        <color rgb="FF63BE7B"/>
        <color rgb="FFFFEF9C"/>
      </colorScale>
    </cfRule>
  </conditionalFormatting>
  <conditionalFormatting sqref="B14:B15">
    <cfRule type="cellIs" dxfId="19" priority="24" operator="lessThan">
      <formula>0.75</formula>
    </cfRule>
  </conditionalFormatting>
  <conditionalFormatting sqref="B18:B19">
    <cfRule type="top10" dxfId="18" priority="23" percent="1" bottom="1" rank="50"/>
  </conditionalFormatting>
  <conditionalFormatting sqref="B26:B27">
    <cfRule type="cellIs" dxfId="17" priority="20" operator="lessThan">
      <formula>50</formula>
    </cfRule>
    <cfRule type="cellIs" dxfId="16" priority="22" operator="greaterThan">
      <formula>80</formula>
    </cfRule>
  </conditionalFormatting>
  <conditionalFormatting sqref="B27">
    <cfRule type="cellIs" dxfId="15" priority="21" operator="lessThan">
      <formula>45</formula>
    </cfRule>
  </conditionalFormatting>
  <conditionalFormatting sqref="A30:B34 A36:A39 A41:A43">
    <cfRule type="duplicateValues" dxfId="14" priority="19"/>
  </conditionalFormatting>
  <conditionalFormatting sqref="A30:C34 A36:A39 A41:A43">
    <cfRule type="duplicateValues" dxfId="13" priority="18"/>
  </conditionalFormatting>
  <conditionalFormatting sqref="B42:B43">
    <cfRule type="cellIs" dxfId="12" priority="17" operator="greaterThan">
      <formula>40000</formula>
    </cfRule>
  </conditionalFormatting>
  <conditionalFormatting sqref="A45:A47">
    <cfRule type="duplicateValues" dxfId="11" priority="12"/>
  </conditionalFormatting>
  <conditionalFormatting sqref="A45:A47">
    <cfRule type="duplicateValues" dxfId="10" priority="11"/>
  </conditionalFormatting>
  <conditionalFormatting sqref="B46:B47">
    <cfRule type="cellIs" dxfId="9" priority="3" operator="greaterThan">
      <formula>46210</formula>
    </cfRule>
    <cfRule type="duplicateValues" dxfId="8" priority="4"/>
    <cfRule type="cellIs" dxfId="7" priority="5" operator="lessThan">
      <formula>46180</formula>
    </cfRule>
    <cfRule type="cellIs" dxfId="6" priority="6" operator="lessThan">
      <formula>46180</formula>
    </cfRule>
    <cfRule type="cellIs" dxfId="5" priority="7" operator="lessThan">
      <formula>46180</formula>
    </cfRule>
    <cfRule type="cellIs" dxfId="4" priority="8" operator="lessThan">
      <formula>46180</formula>
    </cfRule>
    <cfRule type="cellIs" dxfId="3" priority="9" operator="between">
      <formula>46132</formula>
      <formula>46136</formula>
    </cfRule>
    <cfRule type="cellIs" dxfId="2" priority="10" operator="between">
      <formula>46131</formula>
      <formula>46136</formula>
    </cfRule>
  </conditionalFormatting>
  <conditionalFormatting sqref="E37:F37">
    <cfRule type="duplicateValues" dxfId="1" priority="2"/>
  </conditionalFormatting>
  <conditionalFormatting sqref="E37:F37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defaultRowHeight="15" x14ac:dyDescent="0.25"/>
  <cols>
    <col min="2" max="2" width="11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 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2026-07-06T23:44:15Z</cp:lastPrinted>
  <dcterms:created xsi:type="dcterms:W3CDTF">2026-07-02T23:27:56Z</dcterms:created>
  <dcterms:modified xsi:type="dcterms:W3CDTF">2026-07-10T00:39:34Z</dcterms:modified>
</cp:coreProperties>
</file>